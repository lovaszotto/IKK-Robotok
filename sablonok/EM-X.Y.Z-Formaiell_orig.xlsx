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Lovasz\MyRobotFramework\SandboxRobots\IKK-Robotok\IKK04-Dokumentum-WEB-Ellenőrzés\sablonok\"/>
    </mc:Choice>
  </mc:AlternateContent>
  <xr:revisionPtr revIDLastSave="0" documentId="13_ncr:1_{1B8042D0-9FEC-41B0-A20F-A77BFC481C8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lapadatok" sheetId="1" r:id="rId1"/>
    <sheet name="EM-X.Y.Z" sheetId="5" r:id="rId2"/>
    <sheet name="EM-X.Y.Z-MK" sheetId="6" r:id="rId3"/>
    <sheet name="Médiatípusok" sheetId="3" r:id="rId4"/>
  </sheets>
  <externalReferences>
    <externalReference r:id="rId5"/>
    <externalReference r:id="rId6"/>
  </externalReferences>
  <definedNames>
    <definedName name="_xlnm._FilterDatabase" localSheetId="2" hidden="1">'EM-X.Y.Z-MK'!$A$1:$F$949</definedName>
    <definedName name="Médiaelem_típusa" localSheetId="1">[1]Médiatípusok!$A$2:$A$13</definedName>
    <definedName name="Médiaelem_típusa" localSheetId="2">[2]Médiatípusok!$A$2:$A$13</definedName>
    <definedName name="Médiaelem_típusa">Médiatípusok!$A$2:$A$13</definedName>
  </definedNames>
  <calcPr calcId="191029"/>
  <customWorkbookViews>
    <customWorkbookView name="Szücs Dániel - Egyéni nézet" guid="{478CA3E6-D3B7-440E-A0FE-B9DB10FB59B5}" mergeInterval="0" personalView="1" maximized="1" xWindow="-1928" yWindow="-8" windowWidth="1936" windowHeight="10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49" i="6" l="1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M362" i="6"/>
  <c r="K362" i="6"/>
  <c r="M361" i="6"/>
  <c r="K361" i="6"/>
  <c r="M360" i="6"/>
  <c r="K360" i="6"/>
  <c r="M359" i="6"/>
  <c r="K359" i="6"/>
  <c r="M358" i="6"/>
  <c r="K358" i="6"/>
  <c r="M357" i="6"/>
  <c r="K357" i="6"/>
  <c r="M356" i="6"/>
  <c r="K356" i="6"/>
  <c r="M355" i="6"/>
  <c r="K355" i="6"/>
  <c r="M354" i="6"/>
  <c r="K354" i="6"/>
  <c r="M353" i="6"/>
  <c r="K353" i="6"/>
  <c r="M352" i="6"/>
  <c r="K352" i="6"/>
  <c r="M351" i="6"/>
  <c r="K351" i="6"/>
  <c r="M350" i="6"/>
  <c r="K350" i="6"/>
  <c r="M349" i="6"/>
  <c r="K349" i="6"/>
  <c r="M348" i="6"/>
  <c r="K348" i="6"/>
  <c r="M347" i="6"/>
  <c r="K347" i="6"/>
  <c r="M346" i="6"/>
  <c r="K346" i="6"/>
  <c r="M345" i="6"/>
  <c r="K345" i="6"/>
  <c r="M344" i="6"/>
  <c r="K344" i="6"/>
  <c r="M343" i="6"/>
  <c r="K343" i="6"/>
  <c r="M342" i="6"/>
  <c r="K342" i="6"/>
  <c r="M341" i="6"/>
  <c r="K341" i="6"/>
  <c r="M340" i="6"/>
  <c r="K340" i="6"/>
  <c r="M339" i="6"/>
  <c r="K339" i="6"/>
  <c r="M338" i="6"/>
  <c r="K338" i="6"/>
  <c r="M337" i="6"/>
  <c r="K337" i="6"/>
  <c r="M336" i="6"/>
  <c r="K336" i="6"/>
  <c r="M335" i="6"/>
  <c r="K335" i="6"/>
  <c r="M334" i="6"/>
  <c r="K334" i="6"/>
  <c r="M333" i="6"/>
  <c r="K333" i="6"/>
  <c r="M332" i="6"/>
  <c r="K332" i="6"/>
  <c r="M331" i="6"/>
  <c r="K331" i="6"/>
  <c r="M330" i="6"/>
  <c r="K330" i="6"/>
  <c r="M329" i="6"/>
  <c r="K329" i="6"/>
  <c r="M328" i="6"/>
  <c r="K328" i="6"/>
  <c r="M327" i="6"/>
  <c r="K327" i="6"/>
  <c r="M326" i="6"/>
  <c r="K326" i="6"/>
  <c r="M325" i="6"/>
  <c r="K325" i="6"/>
  <c r="M324" i="6"/>
  <c r="K324" i="6"/>
  <c r="M323" i="6"/>
  <c r="K323" i="6"/>
  <c r="M322" i="6"/>
  <c r="K322" i="6"/>
  <c r="M321" i="6"/>
  <c r="K321" i="6"/>
  <c r="M320" i="6"/>
  <c r="K320" i="6"/>
  <c r="M319" i="6"/>
  <c r="K319" i="6"/>
  <c r="M318" i="6"/>
  <c r="K318" i="6"/>
  <c r="M317" i="6"/>
  <c r="K317" i="6"/>
  <c r="M316" i="6"/>
  <c r="K316" i="6"/>
  <c r="M315" i="6"/>
  <c r="K315" i="6"/>
  <c r="M314" i="6"/>
  <c r="K314" i="6"/>
  <c r="M313" i="6"/>
  <c r="K313" i="6"/>
  <c r="M312" i="6"/>
  <c r="K312" i="6"/>
  <c r="M311" i="6"/>
  <c r="K311" i="6"/>
  <c r="M310" i="6"/>
  <c r="K310" i="6"/>
  <c r="M309" i="6"/>
  <c r="K309" i="6"/>
  <c r="M308" i="6"/>
  <c r="K308" i="6"/>
  <c r="M307" i="6"/>
  <c r="K307" i="6"/>
  <c r="M306" i="6"/>
  <c r="K306" i="6"/>
  <c r="M305" i="6"/>
  <c r="K305" i="6"/>
  <c r="M304" i="6"/>
  <c r="K304" i="6"/>
  <c r="M303" i="6"/>
  <c r="K303" i="6"/>
  <c r="M302" i="6"/>
  <c r="K302" i="6"/>
  <c r="M301" i="6"/>
  <c r="K301" i="6"/>
  <c r="M300" i="6"/>
  <c r="K300" i="6"/>
  <c r="M299" i="6"/>
  <c r="K299" i="6"/>
  <c r="M298" i="6"/>
  <c r="K298" i="6"/>
  <c r="M297" i="6"/>
  <c r="K297" i="6"/>
  <c r="M296" i="6"/>
  <c r="K296" i="6"/>
  <c r="M295" i="6"/>
  <c r="K295" i="6"/>
  <c r="M294" i="6"/>
  <c r="K294" i="6"/>
  <c r="M293" i="6"/>
  <c r="K293" i="6"/>
  <c r="M292" i="6"/>
  <c r="K292" i="6"/>
  <c r="M291" i="6"/>
  <c r="K291" i="6"/>
  <c r="M290" i="6"/>
  <c r="K290" i="6"/>
  <c r="M289" i="6"/>
  <c r="K289" i="6"/>
  <c r="M288" i="6"/>
  <c r="K288" i="6"/>
  <c r="M287" i="6"/>
  <c r="K287" i="6"/>
  <c r="M286" i="6"/>
  <c r="K286" i="6"/>
  <c r="M285" i="6"/>
  <c r="K285" i="6"/>
  <c r="M284" i="6"/>
  <c r="K284" i="6"/>
  <c r="M283" i="6"/>
  <c r="K283" i="6"/>
  <c r="M282" i="6"/>
  <c r="K282" i="6"/>
  <c r="M281" i="6"/>
  <c r="K281" i="6"/>
  <c r="M280" i="6"/>
  <c r="K280" i="6"/>
  <c r="M279" i="6"/>
  <c r="K279" i="6"/>
  <c r="M278" i="6"/>
  <c r="K278" i="6"/>
  <c r="M277" i="6"/>
  <c r="K277" i="6"/>
  <c r="M276" i="6"/>
  <c r="K276" i="6"/>
  <c r="M275" i="6"/>
  <c r="K275" i="6"/>
  <c r="M274" i="6"/>
  <c r="K274" i="6"/>
  <c r="M273" i="6"/>
  <c r="K273" i="6"/>
  <c r="M272" i="6"/>
  <c r="K272" i="6"/>
  <c r="M271" i="6"/>
  <c r="K271" i="6"/>
  <c r="M270" i="6"/>
  <c r="K270" i="6"/>
  <c r="M269" i="6"/>
  <c r="K269" i="6"/>
  <c r="M268" i="6"/>
  <c r="K268" i="6"/>
  <c r="M267" i="6"/>
  <c r="K267" i="6"/>
  <c r="M266" i="6"/>
  <c r="K266" i="6"/>
  <c r="M265" i="6"/>
  <c r="K265" i="6"/>
  <c r="M264" i="6"/>
  <c r="K264" i="6"/>
  <c r="M263" i="6"/>
  <c r="K263" i="6"/>
  <c r="M262" i="6"/>
  <c r="K262" i="6"/>
  <c r="M261" i="6"/>
  <c r="K261" i="6"/>
  <c r="M260" i="6"/>
  <c r="K260" i="6"/>
  <c r="M259" i="6"/>
  <c r="K259" i="6"/>
  <c r="M258" i="6"/>
  <c r="K258" i="6"/>
  <c r="M257" i="6"/>
  <c r="K257" i="6"/>
  <c r="M256" i="6"/>
  <c r="K256" i="6"/>
  <c r="M255" i="6"/>
  <c r="K255" i="6"/>
  <c r="M254" i="6"/>
  <c r="K254" i="6"/>
  <c r="M253" i="6"/>
  <c r="K253" i="6"/>
  <c r="M252" i="6"/>
  <c r="K252" i="6"/>
  <c r="M251" i="6"/>
  <c r="K251" i="6"/>
  <c r="M250" i="6"/>
  <c r="K250" i="6"/>
  <c r="M249" i="6"/>
  <c r="K249" i="6"/>
  <c r="M248" i="6"/>
  <c r="K248" i="6"/>
  <c r="M247" i="6"/>
  <c r="K247" i="6"/>
  <c r="M246" i="6"/>
  <c r="K246" i="6"/>
  <c r="M245" i="6"/>
  <c r="K245" i="6"/>
  <c r="M244" i="6"/>
  <c r="K244" i="6"/>
  <c r="M243" i="6"/>
  <c r="K243" i="6"/>
  <c r="M242" i="6"/>
  <c r="K242" i="6"/>
  <c r="M241" i="6"/>
  <c r="K241" i="6"/>
  <c r="M240" i="6"/>
  <c r="K240" i="6"/>
  <c r="M239" i="6"/>
  <c r="K239" i="6"/>
  <c r="M238" i="6"/>
  <c r="K238" i="6"/>
  <c r="M237" i="6"/>
  <c r="K237" i="6"/>
  <c r="M236" i="6"/>
  <c r="K236" i="6"/>
  <c r="M235" i="6"/>
  <c r="K235" i="6"/>
  <c r="M234" i="6"/>
  <c r="K234" i="6"/>
  <c r="M233" i="6"/>
  <c r="K233" i="6"/>
  <c r="M232" i="6"/>
  <c r="K232" i="6"/>
  <c r="M231" i="6"/>
  <c r="K231" i="6"/>
  <c r="M230" i="6"/>
  <c r="K230" i="6"/>
  <c r="M229" i="6"/>
  <c r="K229" i="6"/>
  <c r="M228" i="6"/>
  <c r="K228" i="6"/>
  <c r="M227" i="6"/>
  <c r="K227" i="6"/>
  <c r="M226" i="6"/>
  <c r="K226" i="6"/>
  <c r="M225" i="6"/>
  <c r="K225" i="6"/>
  <c r="M224" i="6"/>
  <c r="K224" i="6"/>
  <c r="M223" i="6"/>
  <c r="K223" i="6"/>
  <c r="M222" i="6"/>
  <c r="K222" i="6"/>
  <c r="M221" i="6"/>
  <c r="K221" i="6"/>
  <c r="M220" i="6"/>
  <c r="K220" i="6"/>
  <c r="M219" i="6"/>
  <c r="K219" i="6"/>
  <c r="M218" i="6"/>
  <c r="K218" i="6"/>
  <c r="M217" i="6"/>
  <c r="K217" i="6"/>
  <c r="M216" i="6"/>
  <c r="K216" i="6"/>
  <c r="M215" i="6"/>
  <c r="K215" i="6"/>
  <c r="M214" i="6"/>
  <c r="K214" i="6"/>
  <c r="M213" i="6"/>
  <c r="K213" i="6"/>
  <c r="M212" i="6"/>
  <c r="K212" i="6"/>
  <c r="M211" i="6"/>
  <c r="K211" i="6"/>
  <c r="M210" i="6"/>
  <c r="K210" i="6"/>
  <c r="M209" i="6"/>
  <c r="K209" i="6"/>
  <c r="M208" i="6"/>
  <c r="K208" i="6"/>
  <c r="M207" i="6"/>
  <c r="K207" i="6"/>
  <c r="M206" i="6"/>
  <c r="K206" i="6"/>
  <c r="M205" i="6"/>
  <c r="K205" i="6"/>
  <c r="M204" i="6"/>
  <c r="K204" i="6"/>
  <c r="M203" i="6"/>
  <c r="K203" i="6"/>
  <c r="M202" i="6"/>
  <c r="K202" i="6"/>
  <c r="M201" i="6"/>
  <c r="K201" i="6"/>
  <c r="M200" i="6"/>
  <c r="K200" i="6"/>
  <c r="M199" i="6"/>
  <c r="K199" i="6"/>
  <c r="M198" i="6"/>
  <c r="K198" i="6"/>
  <c r="M197" i="6"/>
  <c r="K197" i="6"/>
  <c r="M196" i="6"/>
  <c r="K196" i="6"/>
  <c r="M195" i="6"/>
  <c r="K195" i="6"/>
  <c r="M194" i="6"/>
  <c r="K194" i="6"/>
  <c r="M193" i="6"/>
  <c r="K193" i="6"/>
  <c r="M192" i="6"/>
  <c r="K192" i="6"/>
  <c r="M191" i="6"/>
  <c r="K191" i="6"/>
  <c r="M190" i="6"/>
  <c r="K190" i="6"/>
  <c r="M189" i="6"/>
  <c r="K189" i="6"/>
  <c r="M188" i="6"/>
  <c r="K188" i="6"/>
  <c r="M187" i="6"/>
  <c r="K187" i="6"/>
  <c r="M186" i="6"/>
  <c r="K186" i="6"/>
  <c r="M185" i="6"/>
  <c r="K185" i="6"/>
  <c r="M184" i="6"/>
  <c r="K184" i="6"/>
  <c r="M183" i="6"/>
  <c r="K183" i="6"/>
  <c r="M182" i="6"/>
  <c r="K182" i="6"/>
  <c r="M181" i="6"/>
  <c r="K181" i="6"/>
  <c r="M180" i="6"/>
  <c r="K180" i="6"/>
  <c r="M179" i="6"/>
  <c r="K179" i="6"/>
  <c r="M178" i="6"/>
  <c r="K178" i="6"/>
  <c r="M177" i="6"/>
  <c r="K177" i="6"/>
  <c r="M176" i="6"/>
  <c r="K176" i="6"/>
  <c r="M175" i="6"/>
  <c r="K175" i="6"/>
  <c r="M174" i="6"/>
  <c r="K174" i="6"/>
  <c r="M173" i="6"/>
  <c r="K173" i="6"/>
  <c r="M172" i="6"/>
  <c r="K172" i="6"/>
  <c r="M171" i="6"/>
  <c r="K171" i="6"/>
  <c r="M170" i="6"/>
  <c r="K170" i="6"/>
  <c r="M169" i="6"/>
  <c r="K169" i="6"/>
  <c r="M168" i="6"/>
  <c r="K168" i="6"/>
  <c r="M167" i="6"/>
  <c r="K167" i="6"/>
  <c r="M166" i="6"/>
  <c r="K166" i="6"/>
  <c r="M165" i="6"/>
  <c r="K165" i="6"/>
  <c r="M164" i="6"/>
  <c r="K164" i="6"/>
  <c r="M163" i="6"/>
  <c r="K163" i="6"/>
  <c r="M162" i="6"/>
  <c r="K162" i="6"/>
  <c r="M161" i="6"/>
  <c r="K161" i="6"/>
  <c r="M160" i="6"/>
  <c r="K160" i="6"/>
  <c r="M159" i="6"/>
  <c r="K159" i="6"/>
  <c r="M158" i="6"/>
  <c r="K158" i="6"/>
  <c r="M157" i="6"/>
  <c r="K157" i="6"/>
  <c r="M156" i="6"/>
  <c r="K156" i="6"/>
  <c r="M155" i="6"/>
  <c r="K155" i="6"/>
  <c r="M154" i="6"/>
  <c r="K154" i="6"/>
  <c r="M153" i="6"/>
  <c r="K153" i="6"/>
  <c r="M152" i="6"/>
  <c r="K152" i="6"/>
  <c r="M151" i="6"/>
  <c r="K151" i="6"/>
  <c r="M150" i="6"/>
  <c r="K150" i="6"/>
  <c r="M149" i="6"/>
  <c r="K149" i="6"/>
  <c r="M148" i="6"/>
  <c r="K148" i="6"/>
  <c r="M147" i="6"/>
  <c r="K147" i="6"/>
  <c r="M146" i="6"/>
  <c r="K146" i="6"/>
  <c r="M145" i="6"/>
  <c r="K145" i="6"/>
  <c r="M144" i="6"/>
  <c r="K144" i="6"/>
  <c r="M143" i="6"/>
  <c r="K143" i="6"/>
  <c r="M142" i="6"/>
  <c r="K142" i="6"/>
  <c r="M141" i="6"/>
  <c r="K141" i="6"/>
  <c r="M140" i="6"/>
  <c r="K140" i="6"/>
  <c r="M139" i="6"/>
  <c r="K139" i="6"/>
  <c r="M138" i="6"/>
  <c r="K138" i="6"/>
  <c r="M137" i="6"/>
  <c r="K137" i="6"/>
  <c r="M136" i="6"/>
  <c r="K136" i="6"/>
  <c r="M135" i="6"/>
  <c r="K135" i="6"/>
  <c r="M134" i="6"/>
  <c r="K134" i="6"/>
  <c r="M133" i="6"/>
  <c r="K133" i="6"/>
  <c r="M132" i="6"/>
  <c r="K132" i="6"/>
  <c r="M131" i="6"/>
  <c r="K131" i="6"/>
  <c r="M130" i="6"/>
  <c r="K130" i="6"/>
  <c r="M129" i="6"/>
  <c r="K129" i="6"/>
  <c r="M128" i="6"/>
  <c r="K128" i="6"/>
  <c r="M127" i="6"/>
  <c r="K127" i="6"/>
  <c r="M126" i="6"/>
  <c r="K126" i="6"/>
  <c r="M125" i="6"/>
  <c r="K125" i="6"/>
  <c r="M124" i="6"/>
  <c r="K124" i="6"/>
  <c r="M123" i="6"/>
  <c r="K123" i="6"/>
  <c r="M122" i="6"/>
  <c r="K122" i="6"/>
  <c r="M121" i="6"/>
  <c r="K121" i="6"/>
  <c r="M120" i="6"/>
  <c r="K120" i="6"/>
  <c r="M119" i="6"/>
  <c r="K119" i="6"/>
  <c r="M118" i="6"/>
  <c r="K118" i="6"/>
  <c r="M117" i="6"/>
  <c r="K117" i="6"/>
  <c r="M116" i="6"/>
  <c r="K116" i="6"/>
  <c r="M115" i="6"/>
  <c r="K115" i="6"/>
  <c r="M114" i="6"/>
  <c r="K114" i="6"/>
  <c r="M113" i="6"/>
  <c r="K113" i="6"/>
  <c r="M112" i="6"/>
  <c r="K112" i="6"/>
  <c r="M111" i="6"/>
  <c r="K111" i="6"/>
  <c r="M110" i="6"/>
  <c r="K110" i="6"/>
  <c r="M109" i="6"/>
  <c r="K109" i="6"/>
  <c r="M108" i="6"/>
  <c r="K108" i="6"/>
  <c r="M107" i="6"/>
  <c r="K107" i="6"/>
  <c r="M106" i="6"/>
  <c r="K106" i="6"/>
  <c r="M105" i="6"/>
  <c r="K105" i="6"/>
  <c r="M104" i="6"/>
  <c r="K104" i="6"/>
  <c r="M103" i="6"/>
  <c r="K103" i="6"/>
  <c r="M102" i="6"/>
  <c r="K102" i="6"/>
  <c r="M101" i="6"/>
  <c r="K101" i="6"/>
  <c r="M100" i="6"/>
  <c r="K100" i="6"/>
  <c r="M99" i="6"/>
  <c r="K99" i="6"/>
  <c r="M98" i="6"/>
  <c r="K98" i="6"/>
  <c r="M97" i="6"/>
  <c r="K97" i="6"/>
  <c r="M96" i="6"/>
  <c r="K96" i="6"/>
  <c r="M95" i="6"/>
  <c r="K95" i="6"/>
  <c r="M94" i="6"/>
  <c r="K94" i="6"/>
  <c r="M93" i="6"/>
  <c r="K93" i="6"/>
  <c r="M92" i="6"/>
  <c r="K92" i="6"/>
  <c r="M91" i="6"/>
  <c r="K91" i="6"/>
  <c r="M90" i="6"/>
  <c r="K90" i="6"/>
  <c r="M89" i="6"/>
  <c r="K89" i="6"/>
  <c r="M88" i="6"/>
  <c r="K88" i="6"/>
  <c r="M87" i="6"/>
  <c r="K87" i="6"/>
  <c r="M86" i="6"/>
  <c r="K86" i="6"/>
  <c r="M85" i="6"/>
  <c r="K85" i="6"/>
  <c r="M84" i="6"/>
  <c r="K84" i="6"/>
  <c r="M83" i="6"/>
  <c r="K83" i="6"/>
  <c r="M82" i="6"/>
  <c r="K82" i="6"/>
  <c r="M81" i="6"/>
  <c r="K81" i="6"/>
  <c r="M80" i="6"/>
  <c r="K80" i="6"/>
  <c r="M79" i="6"/>
  <c r="K79" i="6"/>
  <c r="M78" i="6"/>
  <c r="K78" i="6"/>
  <c r="M77" i="6"/>
  <c r="K77" i="6"/>
  <c r="M76" i="6"/>
  <c r="K76" i="6"/>
  <c r="M75" i="6"/>
  <c r="K75" i="6"/>
  <c r="M74" i="6"/>
  <c r="K74" i="6"/>
  <c r="M73" i="6"/>
  <c r="K73" i="6"/>
  <c r="M72" i="6"/>
  <c r="K72" i="6"/>
  <c r="M71" i="6"/>
  <c r="K71" i="6"/>
  <c r="M70" i="6"/>
  <c r="K70" i="6"/>
  <c r="M69" i="6"/>
  <c r="K69" i="6"/>
  <c r="M68" i="6"/>
  <c r="K68" i="6"/>
  <c r="M67" i="6"/>
  <c r="K67" i="6"/>
  <c r="M66" i="6"/>
  <c r="K66" i="6"/>
  <c r="M65" i="6"/>
  <c r="K65" i="6"/>
  <c r="M64" i="6"/>
  <c r="K64" i="6"/>
  <c r="M63" i="6"/>
  <c r="K63" i="6"/>
  <c r="M62" i="6"/>
  <c r="K62" i="6"/>
  <c r="M61" i="6"/>
  <c r="K61" i="6"/>
  <c r="M60" i="6"/>
  <c r="K60" i="6"/>
  <c r="M59" i="6"/>
  <c r="K59" i="6"/>
  <c r="M58" i="6"/>
  <c r="K58" i="6"/>
  <c r="M57" i="6"/>
  <c r="K57" i="6"/>
  <c r="M56" i="6"/>
  <c r="K56" i="6"/>
  <c r="M55" i="6"/>
  <c r="K55" i="6"/>
  <c r="M54" i="6"/>
  <c r="K54" i="6"/>
  <c r="M53" i="6"/>
  <c r="K53" i="6"/>
  <c r="M52" i="6"/>
  <c r="K52" i="6"/>
  <c r="M51" i="6"/>
  <c r="K51" i="6"/>
  <c r="M50" i="6"/>
  <c r="K50" i="6"/>
  <c r="M49" i="6"/>
  <c r="K49" i="6"/>
  <c r="M48" i="6"/>
  <c r="K48" i="6"/>
  <c r="M47" i="6"/>
  <c r="K47" i="6"/>
  <c r="M46" i="6"/>
  <c r="K46" i="6"/>
  <c r="M45" i="6"/>
  <c r="K45" i="6"/>
  <c r="M44" i="6"/>
  <c r="K44" i="6"/>
  <c r="M43" i="6"/>
  <c r="K43" i="6"/>
  <c r="M42" i="6"/>
  <c r="K42" i="6"/>
  <c r="M41" i="6"/>
  <c r="K41" i="6"/>
  <c r="M40" i="6"/>
  <c r="K40" i="6"/>
  <c r="M39" i="6"/>
  <c r="K39" i="6"/>
  <c r="M38" i="6"/>
  <c r="K38" i="6"/>
  <c r="M37" i="6"/>
  <c r="K37" i="6"/>
  <c r="M36" i="6"/>
  <c r="K36" i="6"/>
  <c r="M35" i="6"/>
  <c r="K35" i="6"/>
  <c r="M34" i="6"/>
  <c r="K34" i="6"/>
  <c r="M33" i="6"/>
  <c r="K33" i="6"/>
  <c r="M32" i="6"/>
  <c r="K32" i="6"/>
  <c r="M31" i="6"/>
  <c r="K31" i="6"/>
  <c r="M30" i="6"/>
  <c r="K30" i="6"/>
  <c r="M29" i="6"/>
  <c r="K29" i="6"/>
  <c r="M28" i="6"/>
  <c r="K28" i="6"/>
  <c r="M27" i="6"/>
  <c r="K27" i="6"/>
  <c r="M26" i="6"/>
  <c r="K26" i="6"/>
  <c r="M25" i="6"/>
  <c r="K25" i="6"/>
  <c r="M24" i="6"/>
  <c r="K24" i="6"/>
  <c r="M23" i="6"/>
  <c r="K23" i="6"/>
  <c r="M22" i="6"/>
  <c r="K22" i="6"/>
  <c r="M21" i="6"/>
  <c r="K21" i="6"/>
  <c r="M20" i="6"/>
  <c r="K20" i="6"/>
  <c r="M19" i="6"/>
  <c r="K19" i="6"/>
  <c r="M18" i="6"/>
  <c r="K18" i="6"/>
  <c r="M17" i="6"/>
  <c r="K17" i="6"/>
  <c r="M16" i="6"/>
  <c r="K16" i="6"/>
  <c r="M15" i="6"/>
  <c r="K15" i="6"/>
  <c r="M14" i="6"/>
  <c r="K14" i="6"/>
  <c r="M13" i="6"/>
  <c r="K13" i="6"/>
  <c r="M12" i="6"/>
  <c r="K12" i="6"/>
  <c r="M11" i="6"/>
  <c r="K11" i="6"/>
  <c r="M10" i="6"/>
  <c r="K10" i="6"/>
  <c r="M9" i="6"/>
  <c r="K9" i="6"/>
  <c r="M8" i="6"/>
  <c r="K8" i="6"/>
  <c r="M7" i="6"/>
  <c r="K7" i="6"/>
  <c r="M6" i="6"/>
  <c r="K6" i="6"/>
  <c r="M5" i="6"/>
  <c r="K5" i="6"/>
  <c r="D1" i="6"/>
  <c r="B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Szücs Dániel</author>
  </authors>
  <commentList>
    <comment ref="E1" authorId="0" shapeId="0" xr:uid="{DC14E00C-0EE2-4271-A8B4-0A0B16F9FD34}">
      <text>
        <r>
          <rPr>
            <b/>
            <sz val="9"/>
            <color indexed="81"/>
            <rFont val="Tahoma"/>
            <family val="2"/>
            <charset val="238"/>
          </rPr>
          <t>Szücs Dániel:</t>
        </r>
        <r>
          <rPr>
            <sz val="9"/>
            <color indexed="81"/>
            <rFont val="Tahoma"/>
            <family val="2"/>
            <charset val="238"/>
          </rPr>
          <t xml:space="preserve">
A nettó kéziratnak az oldalszáma</t>
        </r>
      </text>
    </comment>
  </commentList>
</comments>
</file>

<file path=xl/sharedStrings.xml><?xml version="1.0" encoding="utf-8"?>
<sst xmlns="http://schemas.openxmlformats.org/spreadsheetml/2006/main" count="1884" uniqueCount="567">
  <si>
    <t>I/R</t>
  </si>
  <si>
    <t>N</t>
  </si>
  <si>
    <t>DT azonosítószáma</t>
  </si>
  <si>
    <t>DT címe</t>
  </si>
  <si>
    <t>Digitális tananyag alapját képező kézirat</t>
  </si>
  <si>
    <t>Digitális tananyag alapját képező kéziratrészek címe, azonosítója</t>
  </si>
  <si>
    <t>kéziratrészek oldalszáma összesen</t>
  </si>
  <si>
    <t>DT tervezett Interkaktivitási szint</t>
  </si>
  <si>
    <t>Digitális tananyag címe:</t>
  </si>
  <si>
    <t>Médiaelem típusa</t>
  </si>
  <si>
    <t>Médiakredit érték</t>
  </si>
  <si>
    <t>2D animáció</t>
  </si>
  <si>
    <t>10mp/7</t>
  </si>
  <si>
    <t>2D grafika</t>
  </si>
  <si>
    <t>3D animáció</t>
  </si>
  <si>
    <t>10mp/13</t>
  </si>
  <si>
    <t>3D grafika</t>
  </si>
  <si>
    <t>Fotó</t>
  </si>
  <si>
    <t>Interaktív animáció (szimuláció)</t>
  </si>
  <si>
    <t>Ismétlődik</t>
  </si>
  <si>
    <t>Médiakredit</t>
  </si>
  <si>
    <t>darab</t>
  </si>
  <si>
    <t>oldalszám:</t>
  </si>
  <si>
    <t>interaktívitási szint:</t>
  </si>
  <si>
    <t>Megtalálható a digitális tananyagban</t>
  </si>
  <si>
    <t>Vállalkozó által leadott adatok</t>
  </si>
  <si>
    <t>Fájlnév (vállalkozótól)</t>
  </si>
  <si>
    <t>Lecke címe</t>
  </si>
  <si>
    <t>Oldalcím</t>
  </si>
  <si>
    <t>igen</t>
  </si>
  <si>
    <t>nem</t>
  </si>
  <si>
    <t>Mozgókép hossza (mp)</t>
  </si>
  <si>
    <t>Hangzóanyag</t>
  </si>
  <si>
    <t>Videó egyszereplős</t>
  </si>
  <si>
    <t>Videó egyszereplős narrációval</t>
  </si>
  <si>
    <t>Videó többszereplős</t>
  </si>
  <si>
    <t>Videó többszereplős narrációval</t>
  </si>
  <si>
    <t>10mp/2</t>
  </si>
  <si>
    <t>10mp/3</t>
  </si>
  <si>
    <t>10mp/4</t>
  </si>
  <si>
    <t>10mp/1</t>
  </si>
  <si>
    <t>Ellenőrzési szempont</t>
  </si>
  <si>
    <t>Megjegyzés</t>
  </si>
  <si>
    <t>Ellenőrzés módszere</t>
  </si>
  <si>
    <t>Ellenőrizendő, hogy a tananyag címe egységesen jelenik meg (DT borító oldal, böngészőfülön megjelenő elnevezés, impresszum, tartalomjegyzék legfelső/legelső sora), megegyezően a kézirat címével. Amennyiben minimális eltérés van, pl.: névelő különbség - elfogadjuk, komolyabb eltérés nem elfogadható.
Böngészőfülön megjelenő elnevezése ellenőrzési módszere: ha az egérmutatót a böngészőfülön hagyjuk pár másodpercig, megjelenik egy buborék szerű elemben.</t>
  </si>
  <si>
    <t>Működés ellenőrzése. A hibákat külön Word Hibajegyzékben kell dokumentálni a következő információk rögzítésével:  
•	Képernyőkép a tapasztalt hibáról/jelenségről (PrintScr vagy Snipping Tool/Képmetsző)
•	Hiba leírása
•	Érintett böngésző típusa és verziószáma
•	Ellenőrzés dátuma.</t>
  </si>
  <si>
    <t>DT magyar nyelvű</t>
  </si>
  <si>
    <t>Amennyiben a feltétel összességében teljesül, akkor "IGEN"-t kell jelölni. Amennyiben bármilyen eltérést találunk, azt a Megjegyzés oszlopban pontos paraméterekkel jelezni szükséges.</t>
  </si>
  <si>
    <t>Ellenőrizendő a megoldás közbeni működése, valamint az egyes elemek megléte: kérdés, feladatleírás, megoldás helye, visszajelzés.</t>
  </si>
  <si>
    <t>Ellenőrizendő, hogy a digitális tananyag tartalmaz-e a következő médiatípusok közül bármelyikből legalább egyet:  
- 2D animáció
- 3D animáció
- egyszereplős videó
- többszereplős videó
- egyszereplős narrációs videó
- többszereplős narrációs videó
- hanganyag, vagy interaktív animáció</t>
  </si>
  <si>
    <t>Ellenőrizni kell a Fogalomtár meglétét, valamint a működését is: kereső funkció, meghatározások lenyitása, Összes bezárása/kibontás gomb</t>
  </si>
  <si>
    <t>Ellenőrizendő, hogy a digitális tananyag tartalmaz-e a következő statikus médiatípusok közül bármelyikből legalább egyet:  
- fotót
- 2D grafikát
- 3D grafikát</t>
  </si>
  <si>
    <t>Borító tartalmilag és formailag megfelelő</t>
  </si>
  <si>
    <t>Impresszum tartalmilag és formailag megfelelő</t>
  </si>
  <si>
    <t>A témák közötti navigációt biztosító interakciós lehetőség biztosított</t>
  </si>
  <si>
    <t>Kézirat és DT tartalmának összhangban van</t>
  </si>
  <si>
    <t>Gyakorló feladatok megfelelő müködése</t>
  </si>
  <si>
    <t>Tartalmaz-e zárótesztet/kérdésbankot</t>
  </si>
  <si>
    <t>Zárótesztben megtalálhatóak a szükséges feladattípusok</t>
  </si>
  <si>
    <t>Ellenőrizendő, hogy 1. a tananyag tartalmaz-e zárótesztet, 2. a záróteszt kérdései tartalmazzák-e a szükséges elemeket (feladatleírás, válaszadási lehetőség, végén összegző visszajelzés), és kattintásra működnek-e. (Csak működésbeli ellenőrzést végzünk, tartalmi ellenőrzést nem.)
Tartalmazza a következő alap feladattípusok legalább egyikét: 
- feleletválasztos, 
- kiegészítő típusú feladatok</t>
  </si>
  <si>
    <t>Ellenőrizendő, hogy szerepel-e a zárótesztben az alap feladattípusokon kívül a következő feladattípusok legalább egyike: 
- médiaelemeket is tartalmazó
- sorbarendezős
- fogd és vidd
- kijelölős feladatok.</t>
  </si>
  <si>
    <t>A digitális tananyag tartalmaz fogalomtárat</t>
  </si>
  <si>
    <t>Tartalmaz-e statikus médiaelemet</t>
  </si>
  <si>
    <t>Egyéb észrevétel a DT egészére vonatkozóan</t>
  </si>
  <si>
    <t>Tartalmaz-e egyéb típusú médiaelemet</t>
  </si>
  <si>
    <t>Ellenőrizendő, hogy megtalálhatók-e az alábbi elemek, és azok tartalma megfelelő-e: 
IKK logó, tananyag címe, szerző(k), további szakmai közreműködők, eredeti könyv címe (ha van), ELMS, dátum, IKK felirat, Széchenyi logó.
FONTOS: ugyanaz a név NEM szerepelhet szerzőként és szakmai közreműködőként is. 
Ha ez előfordul a NEM választ kell megjelölni, és megjegyzésben feltüntetni!</t>
  </si>
  <si>
    <t>A Kézirat és a Digitális tananyag közötti  összefüggés összességében igazolható, de néhány Kézirat-Címsort nem találunk a DT-ben, "Igen"-t jelölhetünk. 
Amennyiben jelentősek a hiányok, akkor Nem.</t>
  </si>
  <si>
    <t>EM-1.1.1</t>
  </si>
  <si>
    <t>A borászati üzemek jellemzői és a borászati termékek</t>
  </si>
  <si>
    <t>EM-1.1.1_RRF221_tema_kezirata
EM-1.1.1_RRF221_kompetencia_tesztek_kezirata
EM-1.1.1_RRF221_fogalomtár_kezirata</t>
  </si>
  <si>
    <t>BOROS-01_2DA-001.png</t>
  </si>
  <si>
    <t>Borító</t>
  </si>
  <si>
    <t>BOROS-01_2DA-002.png</t>
  </si>
  <si>
    <t>A borászati üzemek jellemzői és felszereltsége</t>
  </si>
  <si>
    <t>Nyitóoldal</t>
  </si>
  <si>
    <t>BOROS-01_SF-002.jpg</t>
  </si>
  <si>
    <t>Borkezelő üzemek</t>
  </si>
  <si>
    <t>BOROS-01_SF-001.jpg</t>
  </si>
  <si>
    <t>BOROS-01_SF-003.jpg</t>
  </si>
  <si>
    <t>BOROS-01_SF-004.jpg</t>
  </si>
  <si>
    <t>A borok tárolása</t>
  </si>
  <si>
    <t>BOROS-01_SF-005.jpg</t>
  </si>
  <si>
    <t>BOROS-01_2D-001_02.png</t>
  </si>
  <si>
    <t>A borpince fogalma, feladatai és jellemzői</t>
  </si>
  <si>
    <t>BOROS-01_2D-003_02.png</t>
  </si>
  <si>
    <t>BOROS-01_2D-004_01.png</t>
  </si>
  <si>
    <t>BOROS-01_2D-004_02.png</t>
  </si>
  <si>
    <t>BOROS-01_2D-001_01.png</t>
  </si>
  <si>
    <t>BOROS-01_2D-002_01.png</t>
  </si>
  <si>
    <t>BOROS-01_2D-002_02.png</t>
  </si>
  <si>
    <t>BOROS-01_2D-003_01.png</t>
  </si>
  <si>
    <t>BOROS-01_SF-007.jpg</t>
  </si>
  <si>
    <t>Borpince vs. borház és borkamra</t>
  </si>
  <si>
    <t>BOROS-01_SF-006.jpg</t>
  </si>
  <si>
    <t>BOROS-01_SF-008.jpg</t>
  </si>
  <si>
    <t>A nagyüzemi borgazdaságok hatása a pincészetekre</t>
  </si>
  <si>
    <t>BOROS-01_2DA-003.png</t>
  </si>
  <si>
    <t>A borászati üzemek jellemzői és felszereltsége/A hagyományos pincék és berendezéseik</t>
  </si>
  <si>
    <t>BOROS-01_SF-009.jpg</t>
  </si>
  <si>
    <t>Bortároló és -érlelő pincetípusok – A pincék elhelyezkedése 1.</t>
  </si>
  <si>
    <t>BOROS-01_2D-005_01.png</t>
  </si>
  <si>
    <t>Bortároló és -érlelő pincetípusok – A pincék elhelyezkedése 2.</t>
  </si>
  <si>
    <t>BOROS-01_2D-005_04.png</t>
  </si>
  <si>
    <t>BOROS-01_2D-005_02.png</t>
  </si>
  <si>
    <t>BOROS-01_2D-005_05.png</t>
  </si>
  <si>
    <t>BOROS-01_2D-005_03.png</t>
  </si>
  <si>
    <t>BOROS-01_SF-013.jpg</t>
  </si>
  <si>
    <t>A föld alatti bortároló és -érlelő pincék kőzetanyagai</t>
  </si>
  <si>
    <t>BOROS-01_SF-011.jpg</t>
  </si>
  <si>
    <t>BOROS-01_SF-012.jpg</t>
  </si>
  <si>
    <t>BOROS-01_SF-010.jpg</t>
  </si>
  <si>
    <t>BOROS-01_2D-007.png</t>
  </si>
  <si>
    <t>Föld alatti, sziklába és löszbe vájt természetes pincék</t>
  </si>
  <si>
    <t>BOROS-01_2D-006.png</t>
  </si>
  <si>
    <t>BOROS-01_2DA-004.png</t>
  </si>
  <si>
    <t>A borászati üzemek jellemzői és felszereltsége/A hagyományos pincék és berendezéseik/Hegyvidéki pincék</t>
  </si>
  <si>
    <t>BOROS-01_SF-017.jpg</t>
  </si>
  <si>
    <t>A hegyvidéki pincék jellege</t>
  </si>
  <si>
    <t>BOROS-01_SF-015.jpg</t>
  </si>
  <si>
    <t>BOROS-01_SF-016.jpg</t>
  </si>
  <si>
    <t>BOROS-01_SF-014.jpg</t>
  </si>
  <si>
    <t>BOROS-01_SF-019.jpg</t>
  </si>
  <si>
    <t>Pincék vulkáni tufából</t>
  </si>
  <si>
    <t>BOROS-01_SF-021.jpg</t>
  </si>
  <si>
    <t>BOROS-01_SF-020.jpg</t>
  </si>
  <si>
    <t>BOROS-01_SF-022.jpg</t>
  </si>
  <si>
    <t>Löszpincék</t>
  </si>
  <si>
    <t>BOROS-01_SF-024.jpg</t>
  </si>
  <si>
    <t>Mészkő pincék</t>
  </si>
  <si>
    <t>BOROS-01_SF-028.jpg</t>
  </si>
  <si>
    <t>Sík vidéki pincék</t>
  </si>
  <si>
    <t>BOROS-01_SF-027.jpg</t>
  </si>
  <si>
    <t>BOROS-01_SF-026.jpg</t>
  </si>
  <si>
    <t>BOROS-01_SF-025.jpg</t>
  </si>
  <si>
    <t>BOROS-01_SF-029.jpg</t>
  </si>
  <si>
    <t>Korszerű nagyüzemek</t>
  </si>
  <si>
    <t>BOROS-01_2D-008.png</t>
  </si>
  <si>
    <t>BOROS-01_SF-030.jpg</t>
  </si>
  <si>
    <t>BOROS-01_SF-031.jpg</t>
  </si>
  <si>
    <t>BOROS-01_2DA-005.png</t>
  </si>
  <si>
    <t>A borászati üzemek csoportosítása</t>
  </si>
  <si>
    <t>BOROS-01_VID-001_borito.jpg</t>
  </si>
  <si>
    <t>Bevezetés</t>
  </si>
  <si>
    <t>BOROS-01_VID-001.mp4</t>
  </si>
  <si>
    <t>BOROS-01_2D-011_02.png</t>
  </si>
  <si>
    <t>Borászati technológiai feladatok</t>
  </si>
  <si>
    <t>BOROS-01_2D-010_02.png</t>
  </si>
  <si>
    <t>BOROS-01_2D-013_01.png</t>
  </si>
  <si>
    <t>BOROS-01_2D-013_02.png</t>
  </si>
  <si>
    <t>BOROS-01_2D-009_02.png</t>
  </si>
  <si>
    <t>BOROS-01_2D-012_02.png</t>
  </si>
  <si>
    <t>BOROS-01_2D-009_01.png</t>
  </si>
  <si>
    <t>BOROS-01_2D-012_01.png</t>
  </si>
  <si>
    <t>BOROS-01_2D-010_01.png</t>
  </si>
  <si>
    <t>BOROS-01_2D-011_01.png</t>
  </si>
  <si>
    <t>BOROS-01_SF-032.jpg</t>
  </si>
  <si>
    <t>Nagy-, közép- és kisüzemi borgazdaságok 1.</t>
  </si>
  <si>
    <t>BOROS-01_SF-033.jpg</t>
  </si>
  <si>
    <t>Kiegészítés – Nagy-, közép- és kisüzemi borgazdaságok 1.</t>
  </si>
  <si>
    <t>BOROS-01_VID-002.mp4</t>
  </si>
  <si>
    <t>Nagy-, közép- és kisüzemi borgazdaságok 2.</t>
  </si>
  <si>
    <t>BOROS-01_VID-002_borito.jpg</t>
  </si>
  <si>
    <t>BOROS-01_2D-014_04.png</t>
  </si>
  <si>
    <t>Üzemméretek</t>
  </si>
  <si>
    <t>BOROS-01_2D-014_03.png</t>
  </si>
  <si>
    <t>BOROS-01_2D-014_02.png</t>
  </si>
  <si>
    <t>BOROS-01_2D-014_01.png</t>
  </si>
  <si>
    <t>BOROS-01_2DA-006.png</t>
  </si>
  <si>
    <t>A borászati üzemek csoportosítása/Nagyüzemi borgazdaságok</t>
  </si>
  <si>
    <t>BOROS-01_F-001.jpg</t>
  </si>
  <si>
    <t>Feladatok és jellegzetességek</t>
  </si>
  <si>
    <t>BOROS-01_SF-034.jpg</t>
  </si>
  <si>
    <t>BOROS-01_F-003.jpg</t>
  </si>
  <si>
    <t>BOROS-01_SF-036.jpg</t>
  </si>
  <si>
    <t>BOROS-01_F-005.jpg</t>
  </si>
  <si>
    <t>BOROS-01_F-002.jpg</t>
  </si>
  <si>
    <t>BOROS-01_F-006.jpg</t>
  </si>
  <si>
    <t>BOROS-01_SF-035.jpg</t>
  </si>
  <si>
    <t>BOROS-01_SF-037.jpg</t>
  </si>
  <si>
    <t>BOROS-01_F-004.jpg</t>
  </si>
  <si>
    <t>BOROS-01_SF-117.jpg</t>
  </si>
  <si>
    <t>Integrációs tevékenység a szőlőtermesztésben</t>
  </si>
  <si>
    <t>BOROS-01_F-008.jpg</t>
  </si>
  <si>
    <t>Magas színvonalú, fejlett borászati technológia</t>
  </si>
  <si>
    <t>BOROS-01_SF-039.jpg</t>
  </si>
  <si>
    <t>BOROS-01_F-007.jpg</t>
  </si>
  <si>
    <t>BOROS-01_2D-017_01.png</t>
  </si>
  <si>
    <t>Technológiai feladatok</t>
  </si>
  <si>
    <t>BOROS-01_2D-018_02.png</t>
  </si>
  <si>
    <t>BOROS-01_2D-015_02.png</t>
  </si>
  <si>
    <t>BOROS-01_2D-018_01.png</t>
  </si>
  <si>
    <t>BOROS-01_2D-015_01.png</t>
  </si>
  <si>
    <t>BOROS-01_2D-016_01.png</t>
  </si>
  <si>
    <t>BOROS-01_2D-017_02.png</t>
  </si>
  <si>
    <t>BOROS-01_2D-016_02.png</t>
  </si>
  <si>
    <t>BOROS-01_2DA-007_borito.png</t>
  </si>
  <si>
    <t>A borászati üzemek funkcionális egységei</t>
  </si>
  <si>
    <t>BOROS-01_2DA-007.mp4</t>
  </si>
  <si>
    <t>BOROS-01_2DA-008.png</t>
  </si>
  <si>
    <t>A borászati üzemek csoportosítása/Nagyüzemi borgazdaságok/Szőlőfeldolgozó üzemrész</t>
  </si>
  <si>
    <t>BOROS-01_SF-040.jpg</t>
  </si>
  <si>
    <t>A szőlőfeldolgozó feladata, az üzemeltetést meghatározó tényezők</t>
  </si>
  <si>
    <t>BOROS-01_F-021.jpg</t>
  </si>
  <si>
    <t>Elhelyezés és jelleg</t>
  </si>
  <si>
    <t>BOROS-01_VID-003.mp4</t>
  </si>
  <si>
    <t>Az üzem méretezése</t>
  </si>
  <si>
    <t>BOROS-01_VID-003_borito.jpg</t>
  </si>
  <si>
    <t>BOROS-01_VID-004.mp4</t>
  </si>
  <si>
    <t>BOROS-01_VID-004_borito.jpg</t>
  </si>
  <si>
    <t>BOROS-01_2DA-009.mp4</t>
  </si>
  <si>
    <t>A borászati üzem méretezésének alapelvei, összefüggései</t>
  </si>
  <si>
    <t>BOROS-01_2DA-009_borito.png</t>
  </si>
  <si>
    <t>BOROS-01_F-009.jpg</t>
  </si>
  <si>
    <t>Az üzem elhelyezése, külső elrendezése 1.</t>
  </si>
  <si>
    <t>BOROS-01_F-010.jpg</t>
  </si>
  <si>
    <t>BOROS-01_SF-041.jpg</t>
  </si>
  <si>
    <t>BOROS-01_SF-042.jpg</t>
  </si>
  <si>
    <t>Az üzem elhelyezése, külső elrendezése 2.</t>
  </si>
  <si>
    <t>BOROS-01_F-011.jpg</t>
  </si>
  <si>
    <t>BOROS-01_F-022.jpg</t>
  </si>
  <si>
    <t>Az üzem elhelyezése, külső elrendezése 3.</t>
  </si>
  <si>
    <t>BOROS-01_SF-043.jpg</t>
  </si>
  <si>
    <t>BOROS-01_SF-044.jpg</t>
  </si>
  <si>
    <t>BOROS-01_SF-045.jpg</t>
  </si>
  <si>
    <t>Belső elrendezés 1.</t>
  </si>
  <si>
    <t>BOROS-01_F-012.jpg</t>
  </si>
  <si>
    <t>Belső elrendezés 2.</t>
  </si>
  <si>
    <t>BOROS-01_F-023.jpg</t>
  </si>
  <si>
    <t>Belső elrendezés 3.</t>
  </si>
  <si>
    <t>BOROS-01_SF-046.jpg</t>
  </si>
  <si>
    <t>A szőlőfeldolgozó két, elválasztott építményrészlege</t>
  </si>
  <si>
    <t>BOROS-01_SF-047.jpg</t>
  </si>
  <si>
    <t>A bogyózógépházak és a sajtóházak kialakítása</t>
  </si>
  <si>
    <t>BOROS-01_SF-118.jpg</t>
  </si>
  <si>
    <t>Középüzemi borgazdaságok</t>
  </si>
  <si>
    <t>BOROS-01_F-013.jpg</t>
  </si>
  <si>
    <t>BOROS-01_2D-021.png</t>
  </si>
  <si>
    <t>Kisüzemi (kistermelői) borgazdaságok</t>
  </si>
  <si>
    <t>BOROS-01_2D-020.png</t>
  </si>
  <si>
    <t>BOROS-01_SF-049.jpg</t>
  </si>
  <si>
    <t>BOROS-01_SF-050.jpg</t>
  </si>
  <si>
    <t>BOROS-01_2D-019.png</t>
  </si>
  <si>
    <t>BOROS-01_2D-022.png</t>
  </si>
  <si>
    <t>Összefoglaló – Miről tanultál eddig?</t>
  </si>
  <si>
    <t>BOROS-01_2D-023.png</t>
  </si>
  <si>
    <t>BOROS-01_2DA-010.png</t>
  </si>
  <si>
    <t>A pincék típusai és jellemzői a borkészítés szemszögéből</t>
  </si>
  <si>
    <t>BOROS-01_2DA-011.png</t>
  </si>
  <si>
    <t>A pincék típusai és jellemzői a borkészítés szemszögéből/A pince minőségét befolyásoló tényezők</t>
  </si>
  <si>
    <t>BOROS-01_2D-026_01.png</t>
  </si>
  <si>
    <t>A pincék általános követelményei</t>
  </si>
  <si>
    <t>BOROS-01_2D-026_02.png</t>
  </si>
  <si>
    <t>BOROS-01_2D-024_02.png</t>
  </si>
  <si>
    <t>BOROS-01_2D-025_01.png</t>
  </si>
  <si>
    <t>BOROS-01_2D-025_02.png</t>
  </si>
  <si>
    <t>BOROS-01_2D-024_01.png</t>
  </si>
  <si>
    <t>BOROS-01_SF-052.jpg</t>
  </si>
  <si>
    <t>Hőmérséklet</t>
  </si>
  <si>
    <t>BOROS-01_SF-051.jpg</t>
  </si>
  <si>
    <t>BOROS-01_SF-053.jpg</t>
  </si>
  <si>
    <t>Páratartalom – Fogalma, optimális értéke</t>
  </si>
  <si>
    <t>BOROS-01_SF-054.jpg</t>
  </si>
  <si>
    <t>Páratartalom – A borra kifejtett hatása</t>
  </si>
  <si>
    <t>BOROS-01_2D-027.png</t>
  </si>
  <si>
    <t>Páratartalom – A pincelevegő nedvességtartalma</t>
  </si>
  <si>
    <t>BOROS-01_SF-055.jpg</t>
  </si>
  <si>
    <t>Légtisztaság</t>
  </si>
  <si>
    <t>BOROS-01_VID-005.mp4</t>
  </si>
  <si>
    <t>BOROS-01_SF-056.jpg</t>
  </si>
  <si>
    <t>BOROS-01_VID-005_borito.jpg</t>
  </si>
  <si>
    <t>BOROS-01_2D-028.png</t>
  </si>
  <si>
    <t>BOROS-01_SF-060.jpg</t>
  </si>
  <si>
    <t>A pince méretezése, célszerű elhelyezkedése</t>
  </si>
  <si>
    <t>BOROS-01_SF-059.jpg</t>
  </si>
  <si>
    <t>BOROS-01_SF-057.jpg</t>
  </si>
  <si>
    <t>BOROS-01_SF-058.jpg</t>
  </si>
  <si>
    <t>BOROS-01_SF-061.jpg</t>
  </si>
  <si>
    <t>Egyéb berendezések</t>
  </si>
  <si>
    <t>BOROS-01_SF-063.jpg</t>
  </si>
  <si>
    <t>BOROS-01_SF-062.jpg</t>
  </si>
  <si>
    <t>BOROS-01_SF-094.jpg</t>
  </si>
  <si>
    <t>Vasbeton tartályos pincék – Főbb tudnivalók</t>
  </si>
  <si>
    <t>BOROS-01_SF-065.jpg</t>
  </si>
  <si>
    <t>BOROS-01_2D-030.png</t>
  </si>
  <si>
    <t>Vasbeton tartályos pincék – Előnyök és hátrányok</t>
  </si>
  <si>
    <t>BOROS-01_2D-029.png</t>
  </si>
  <si>
    <t>BOROS-01_2DA-012.png</t>
  </si>
  <si>
    <t>A pincék típusai és jellemzői a borkészítés szemszögéből/Saválló acéltartályos pincék</t>
  </si>
  <si>
    <t>BOROS-01_SF-066.jpg</t>
  </si>
  <si>
    <t>Saválló acéltartályok</t>
  </si>
  <si>
    <t>BOROS-01_F-014.jpg</t>
  </si>
  <si>
    <t>BOROS-01_SF-067.jpg</t>
  </si>
  <si>
    <t>Saválló acéltartályok vs. fahordók</t>
  </si>
  <si>
    <t>BOROS-01_SF-069.jpg</t>
  </si>
  <si>
    <t>A korszerű borászat fejlődési irányai</t>
  </si>
  <si>
    <t>BOROS-01_SF-119.jpg</t>
  </si>
  <si>
    <t>BOROS-01_SF-068.jpg</t>
  </si>
  <si>
    <t>BOROS-01_F-015.jpg</t>
  </si>
  <si>
    <t>A tartályok szabadtéri elhelyezése és a musterjesztés</t>
  </si>
  <si>
    <t>BOROS-01_SF-071.jpg</t>
  </si>
  <si>
    <t>A saválló acéltartályok elhelyezése zárt épületben</t>
  </si>
  <si>
    <t>BOROS-01_2D-031.png</t>
  </si>
  <si>
    <t>BOROS-01_VID-006_borito.jpg</t>
  </si>
  <si>
    <t>A saválló acéltartályok mobilitása</t>
  </si>
  <si>
    <t>BOROS-01_VID-006.mp4</t>
  </si>
  <si>
    <t>BOROS-01_2DA-013.png</t>
  </si>
  <si>
    <t>A borkészítés tárolóedényzete</t>
  </si>
  <si>
    <t>BOROS-01_2DA-014.png</t>
  </si>
  <si>
    <t>A borkészítés tárolóedényzete/Pincészeti tartályok</t>
  </si>
  <si>
    <t>BOROS-01_2D-033_02.png</t>
  </si>
  <si>
    <t>A pincészeti tartályok csoportosítása</t>
  </si>
  <si>
    <t>BOROS-01_2D-032_02.png</t>
  </si>
  <si>
    <t>BOROS-01_2D-032_01.png</t>
  </si>
  <si>
    <t>BOROS-01_2D-033_01.png</t>
  </si>
  <si>
    <t>BOROS-01_SF-072.jpg</t>
  </si>
  <si>
    <t>Tárolótartályok</t>
  </si>
  <si>
    <t>BOROS-01_2D-034.png</t>
  </si>
  <si>
    <t>A folyamatokhoz szükséges tartályok</t>
  </si>
  <si>
    <t>BOROS-01_SF-074.jpg</t>
  </si>
  <si>
    <t>BOROS-01_SF-073.jpg</t>
  </si>
  <si>
    <t>BOROS-01_SF-078.jpg</t>
  </si>
  <si>
    <t>Speciális, historizálóeljárásokhoz alkalmazott tartályok</t>
  </si>
  <si>
    <t>BOROS-01_SF-076.jpg</t>
  </si>
  <si>
    <t>BOROS-01_SF-075.jpg</t>
  </si>
  <si>
    <t>BOROS-01_SF-077.jpg</t>
  </si>
  <si>
    <t>BOROS-01_2DA-015.png</t>
  </si>
  <si>
    <t>A borkészítés tárolóedényzete/Pincészeti tartályok/A fa mint stílusformáló eszköz</t>
  </si>
  <si>
    <t>BOROS-01_2D-035.png</t>
  </si>
  <si>
    <t>A fahordók elnevezései és méretei</t>
  </si>
  <si>
    <t>BOROS-01_2D-036_03.png</t>
  </si>
  <si>
    <t>Az ászokhordó fogalma és felépítése</t>
  </si>
  <si>
    <t>BOROS-01_2D-036_06.png</t>
  </si>
  <si>
    <t>BOROS-01_2D-036_05.png</t>
  </si>
  <si>
    <t>BOROS-01_2D-036_08.png</t>
  </si>
  <si>
    <t>BOROS-01_2D-036_13.png</t>
  </si>
  <si>
    <t>BOROS-01_2D-036_11.png</t>
  </si>
  <si>
    <t>BOROS-01_2D-036_10.png</t>
  </si>
  <si>
    <t>BOROS-01_2D-036_12.png</t>
  </si>
  <si>
    <t>BOROS-01_2D-036_04.png</t>
  </si>
  <si>
    <t>BOROS-01_2D-036_01.png</t>
  </si>
  <si>
    <t>BOROS-01_2D-036_14.png</t>
  </si>
  <si>
    <t>BOROS-01_2D-036_07.png</t>
  </si>
  <si>
    <t>BOROS-01_2D-036_02.png</t>
  </si>
  <si>
    <t>BOROS-01_2D-036_09.png</t>
  </si>
  <si>
    <t>BOROS-01_SF-079.jpg</t>
  </si>
  <si>
    <t>A bor szállítása régen és a fahordók hátrányai</t>
  </si>
  <si>
    <t>BOROS-01_SF-081.jpg</t>
  </si>
  <si>
    <t>A fahordók szakszerűtlen kezelése és a borhibák</t>
  </si>
  <si>
    <t>BOROS-01_SF-082.jpg</t>
  </si>
  <si>
    <t>A fahordók reneszánsza</t>
  </si>
  <si>
    <t>BOROS-01_SF-083.jpg</t>
  </si>
  <si>
    <t>A fahordók faanyaga</t>
  </si>
  <si>
    <t>BOROS-01_2D-037_05.png</t>
  </si>
  <si>
    <t>A hordófa kémiai összetétele és szerkezete</t>
  </si>
  <si>
    <t>BOROS-01_2D-037_02.png</t>
  </si>
  <si>
    <t>BOROS-01_2D-037_01.png</t>
  </si>
  <si>
    <t>BOROS-01_2D-037_03.png</t>
  </si>
  <si>
    <t>BOROS-01_2D-037_04.png</t>
  </si>
  <si>
    <t>BOROS-01_2D-037_06.png</t>
  </si>
  <si>
    <t>BOROS-01_SF-084.jpg</t>
  </si>
  <si>
    <t>A fadonga fogalma és előállítása</t>
  </si>
  <si>
    <t>BOROS-01_SF-085.jpg</t>
  </si>
  <si>
    <t>Hordódonga-készítés – A lépések áttekintése</t>
  </si>
  <si>
    <t>BOROS-01_2D-038_03.png</t>
  </si>
  <si>
    <t>Hordódonga-készítés – A donga kivágása a tölgyfa törzséből</t>
  </si>
  <si>
    <t>BOROS-01_2D-038_06.png</t>
  </si>
  <si>
    <t>BOROS-01_2D-038_04.png</t>
  </si>
  <si>
    <t>BOROS-01_2D-038_05.png</t>
  </si>
  <si>
    <t>BOROS-01_2D-038_02.png</t>
  </si>
  <si>
    <t>BOROS-01_2D-038_07.png</t>
  </si>
  <si>
    <t>BOROS-01_2D-038_08.png</t>
  </si>
  <si>
    <t>BOROS-01_2D-038_01.png</t>
  </si>
  <si>
    <t>BOROS-01_SF-091.jpg</t>
  </si>
  <si>
    <t>Hordódonga-készítés – Pörkölés</t>
  </si>
  <si>
    <t>BOROS-01_SF-089.jpg</t>
  </si>
  <si>
    <t>BOROS-01_SF-088.jpg</t>
  </si>
  <si>
    <t>BOROS-01_SF-087.jpg</t>
  </si>
  <si>
    <t>BOROS-01_SF-090.jpg</t>
  </si>
  <si>
    <t>BOROS-01_SF-092.jpg</t>
  </si>
  <si>
    <t>A tölgyfa hordók használata és korlátai</t>
  </si>
  <si>
    <t>BOROS-01_2D-039.png</t>
  </si>
  <si>
    <t>A hordók beavatása és hitelesítése</t>
  </si>
  <si>
    <t>BOROS-01_2D-040.png</t>
  </si>
  <si>
    <t>A hordók űrtartalmának kiszámítása</t>
  </si>
  <si>
    <t>BOROS-01_2DA-016.png</t>
  </si>
  <si>
    <t>A borkészítés tárolóedényzete/Pincészeti tartályok/Betontartályok</t>
  </si>
  <si>
    <t>BOROS-01_SF-095.jpg</t>
  </si>
  <si>
    <t>Jellemzők</t>
  </si>
  <si>
    <t>BOROS-01_SF-093.jpg</t>
  </si>
  <si>
    <t>BOROS-01_2D-041_10.png</t>
  </si>
  <si>
    <t>Szerkezeti felépítés</t>
  </si>
  <si>
    <t>BOROS-01_2D-041_12.png</t>
  </si>
  <si>
    <t>BOROS-01_2D-041_03.png</t>
  </si>
  <si>
    <t>BOROS-01_2D-041_04.png</t>
  </si>
  <si>
    <t>BOROS-01_2D-041_09.png</t>
  </si>
  <si>
    <t>BOROS-01_2D-041_13.png</t>
  </si>
  <si>
    <t>BOROS-01_2D-041_06.png</t>
  </si>
  <si>
    <t>BOROS-01_2D-041_11.png</t>
  </si>
  <si>
    <t>BOROS-01_2D-041_01.png</t>
  </si>
  <si>
    <t>BOROS-01_2D-041_02.png</t>
  </si>
  <si>
    <t>BOROS-01_2D-041_08.png</t>
  </si>
  <si>
    <t>BOROS-01_2D-041_07.png</t>
  </si>
  <si>
    <t>BOROS-01_2D-041_05.png</t>
  </si>
  <si>
    <t>BOROS-01_SF-096.jpg</t>
  </si>
  <si>
    <t>További előnyök és hátrányok</t>
  </si>
  <si>
    <t>BOROS-01_SF-097.jpg</t>
  </si>
  <si>
    <t>BOROS-01_SF-099.jpg</t>
  </si>
  <si>
    <t>Műanyag tartályok</t>
  </si>
  <si>
    <t>BOROS-01_2D-042.png</t>
  </si>
  <si>
    <t>BOROS-01_SF-098.jpg</t>
  </si>
  <si>
    <t>BOROS-01_2DA-017.png</t>
  </si>
  <si>
    <t>A borkészítés tárolóedényzete/Pincészeti tartályok/Belső burkolattal ellátott acéltartályok</t>
  </si>
  <si>
    <t>BOROS-01_SF-100.jpg</t>
  </si>
  <si>
    <t>Az acél és az acéltartályok főbb tudnivalói</t>
  </si>
  <si>
    <t>BOROS-01_SF-102.jpg</t>
  </si>
  <si>
    <t>Az acéltartályok korrózióvédelme</t>
  </si>
  <si>
    <t>BOROS-01_SF-101.jpg</t>
  </si>
  <si>
    <t>BOROS-01_2D-043.png</t>
  </si>
  <si>
    <t>Az acéltartályok felhasználási területei és feltételei</t>
  </si>
  <si>
    <t>BOROS-01_2DA-018.png</t>
  </si>
  <si>
    <t>A borkészítés tárolóedényzete/Saválló ipari nemesacél tartályok</t>
  </si>
  <si>
    <t>BOROS-01_2D-044.png</t>
  </si>
  <si>
    <t>A nemesacél jellemzői</t>
  </si>
  <si>
    <t>BOROS-01_SF-103.jpg</t>
  </si>
  <si>
    <t>BOROS-01_2D-045_03.png</t>
  </si>
  <si>
    <t>A nemesacél tartályok szerkezete és szerelvényei</t>
  </si>
  <si>
    <t>BOROS-01_2D-045_06.png</t>
  </si>
  <si>
    <t>BOROS-01_2D-045_04.png</t>
  </si>
  <si>
    <t>BOROS-01_2D-045_10.png</t>
  </si>
  <si>
    <t>BOROS-01_2D-045_12.png</t>
  </si>
  <si>
    <t>BOROS-01_2D-045_01.png</t>
  </si>
  <si>
    <t>BOROS-01_2D-045_11.png</t>
  </si>
  <si>
    <t>BOROS-01_2D-045_07.png</t>
  </si>
  <si>
    <t>BOROS-01_2D-045_02.png</t>
  </si>
  <si>
    <t>BOROS-01_2D-045_09.png</t>
  </si>
  <si>
    <t>BOROS-01_2D-045_13.png</t>
  </si>
  <si>
    <t>BOROS-01_2D-045_08.png</t>
  </si>
  <si>
    <t>BOROS-01_2D-045_05.png</t>
  </si>
  <si>
    <t>BOROS-01_F-016.jpg</t>
  </si>
  <si>
    <t>Egy tartály belseje</t>
  </si>
  <si>
    <t>BOROS-01_F-017.jpg</t>
  </si>
  <si>
    <t>BOROS-01_SF-104.jpg</t>
  </si>
  <si>
    <t>A tartályok alakja és a bennük lejátszódó folyamatok</t>
  </si>
  <si>
    <t>BOROS-01_2D-046_05.png</t>
  </si>
  <si>
    <t>Az ülepedés és a rétegződés folyamata a tartályokban</t>
  </si>
  <si>
    <t>BOROS-01_2D-046_02.png</t>
  </si>
  <si>
    <t>BOROS-01_2D-046_03.png</t>
  </si>
  <si>
    <t>BOROS-01_2D-046_04.png</t>
  </si>
  <si>
    <t>BOROS-01_2D-046_06.png</t>
  </si>
  <si>
    <t>BOROS-01_2D-046_01.png</t>
  </si>
  <si>
    <t>BOROS-01_2D-047_03.png</t>
  </si>
  <si>
    <t>Tartálytípusok</t>
  </si>
  <si>
    <t>BOROS-01_2D-047_01.png</t>
  </si>
  <si>
    <t>BOROS-01_2D-047_04.png</t>
  </si>
  <si>
    <t>BOROS-01_2D-047_02.png</t>
  </si>
  <si>
    <t>BOROS-01_2D-048_03.png</t>
  </si>
  <si>
    <t>Tartályfenék</t>
  </si>
  <si>
    <t>BOROS-01_2D-048_01.png</t>
  </si>
  <si>
    <t>BOROS-01_2D-048_04.png</t>
  </si>
  <si>
    <t>BOROS-01_2D-048_05.png</t>
  </si>
  <si>
    <t>BOROS-01_2D-048_02.png</t>
  </si>
  <si>
    <t>BOROS-01_F-020.jpg</t>
  </si>
  <si>
    <t>Tartálytest</t>
  </si>
  <si>
    <t>BOROS-01_F-018.jpg</t>
  </si>
  <si>
    <t>BOROS-01_2D-049.png</t>
  </si>
  <si>
    <t>BOROS-01_F-019.jpg</t>
  </si>
  <si>
    <t>BOROS-01_2D-050_02.jpg</t>
  </si>
  <si>
    <t>Kupola</t>
  </si>
  <si>
    <t>BOROS-01_2D-050_03.jpg</t>
  </si>
  <si>
    <t>BOROS-01_2D-050_01.jpg</t>
  </si>
  <si>
    <t>BOROS-01_2D-050_05.jpg</t>
  </si>
  <si>
    <t>BOROS-01_2D-050_04.jpg</t>
  </si>
  <si>
    <t>BOROS-01_2D-051_01.png</t>
  </si>
  <si>
    <t>A tartályokhoz választható kiegészítők</t>
  </si>
  <si>
    <t>BOROS-01_2D-053_02.png</t>
  </si>
  <si>
    <t>BOROS-01_2D-059_02.png</t>
  </si>
  <si>
    <t>BOROS-01_2D-051_02.png</t>
  </si>
  <si>
    <t>BOROS-01_2D-054_01.png</t>
  </si>
  <si>
    <t>BOROS-01_2D-056_02.png</t>
  </si>
  <si>
    <t>BOROS-01_2D-052_01.png</t>
  </si>
  <si>
    <t>BOROS-01_2D-057_01.png</t>
  </si>
  <si>
    <t>BOROS-01_2D-056_01.png</t>
  </si>
  <si>
    <t>BOROS-01_2D-052_02.png</t>
  </si>
  <si>
    <t>BOROS-01_2D-060_02.png</t>
  </si>
  <si>
    <t>BOROS-01_2D-053_01.png</t>
  </si>
  <si>
    <t>BOROS-01_2D-055_02.png</t>
  </si>
  <si>
    <t>BOROS-01_2D-060_01.png</t>
  </si>
  <si>
    <t>BOROS-01_2D-055_01.png</t>
  </si>
  <si>
    <t>BOROS-01_2D-058_01.png</t>
  </si>
  <si>
    <t>BOROS-01_2D-059_01.png</t>
  </si>
  <si>
    <t>BOROS-01_2D-057_02.png</t>
  </si>
  <si>
    <t>BOROS-01_2D-058_02.png</t>
  </si>
  <si>
    <t>BOROS-01_2D-054_02.png</t>
  </si>
  <si>
    <t>BOROS-01_SF-105.jpg</t>
  </si>
  <si>
    <t>A cefretartályok felszereltsége</t>
  </si>
  <si>
    <t>BOROS-01_SF-116.jpg</t>
  </si>
  <si>
    <t>Egy tartálypince felülnézeti telepítési rajza</t>
  </si>
  <si>
    <t>BOROS-01_SF-106.jpg</t>
  </si>
  <si>
    <t>Tartálytelep telepített, helyhez kötött vezetékekkel</t>
  </si>
  <si>
    <t>BOROS-01_SF-107.jpg</t>
  </si>
  <si>
    <t>BOROS-01_2D-063.png</t>
  </si>
  <si>
    <t>Ikertartályok saválló acélból</t>
  </si>
  <si>
    <t>BOROS-01_2D-062.png</t>
  </si>
  <si>
    <t>BOROS-01_2D-064.png</t>
  </si>
  <si>
    <t>A tartályok tisztítása – Statikusan tisztító szórófejek</t>
  </si>
  <si>
    <t>BOROS-01_2D-065_01.png</t>
  </si>
  <si>
    <t>A tartályok tisztítása – Mozgatható szórófejek</t>
  </si>
  <si>
    <t>BOROS-01_2D-065_03.png</t>
  </si>
  <si>
    <t>BOROS-01_2D-065_06.png</t>
  </si>
  <si>
    <t>BOROS-01_2D-065_02.png</t>
  </si>
  <si>
    <t>BOROS-01_2D-065_04.png</t>
  </si>
  <si>
    <t>BOROS-01_2D-065_05.png</t>
  </si>
  <si>
    <t>BOROS-01_2D-068.png</t>
  </si>
  <si>
    <t>BOROS-01_2D-066.png</t>
  </si>
  <si>
    <t>BOROS-01_2D-069.png</t>
  </si>
  <si>
    <t>BOROS-01_2D-067.png</t>
  </si>
  <si>
    <t>BOROS-01_2DA-019.png</t>
  </si>
  <si>
    <t>Eredet- és földrajzi jelölések, a borászati termékek csoportosítása</t>
  </si>
  <si>
    <t>BOROS-01_2D-070.png</t>
  </si>
  <si>
    <t>Egységes borelnevezések és borkategóriák</t>
  </si>
  <si>
    <t>BOROS-01_2D-071.png</t>
  </si>
  <si>
    <t>Oltalom alatt álló és oltalommal nem rendelkező borok</t>
  </si>
  <si>
    <t>BOROS-01_2D-072.png</t>
  </si>
  <si>
    <t>BOROS-01_SF-108.jpg</t>
  </si>
  <si>
    <t>OEM- és OFJ-borelnevezések, és az ökológiai termékek jelölése</t>
  </si>
  <si>
    <t>BOROS-01_SF-114.jpg</t>
  </si>
  <si>
    <t>BOROS-01_SF-109.jpg</t>
  </si>
  <si>
    <t>BOROS-01_SF-110.jpg</t>
  </si>
  <si>
    <t>Magyar borászati termékek – Oltalom alatt álló eredetmegjelölések (OEM) 1.</t>
  </si>
  <si>
    <t>BOROS-01_2DA-020_borito.png</t>
  </si>
  <si>
    <t>Magyar borászati termékek – Oltalom alatt álló eredetmegjelölések (OEM) 2.</t>
  </si>
  <si>
    <t>BOROS-01_2DA-020.mp4</t>
  </si>
  <si>
    <t>BOROS-01_2D-073_06.png</t>
  </si>
  <si>
    <t>Magyar borászati termékek – Oltalom alatt álló földrajzi jelzések (OFJ)</t>
  </si>
  <si>
    <t>BOROS-01_2D-073_07.png</t>
  </si>
  <si>
    <t>BOROS-01_2D-073_05.png</t>
  </si>
  <si>
    <t>BOROS-01_2D-073_03.png</t>
  </si>
  <si>
    <t>BOROS-01_2D-073_01.png</t>
  </si>
  <si>
    <t>BOROS-01_2D-073_04.png</t>
  </si>
  <si>
    <t>BOROS-01_2D-073_02.png</t>
  </si>
  <si>
    <t>BOROS-01_SF-111.jpg</t>
  </si>
  <si>
    <t>Magyar borászati termékek – Tájborok (OFJ) 1.</t>
  </si>
  <si>
    <t>BOROS-01_2D-075.png</t>
  </si>
  <si>
    <t>Magyar szőlőfajták és területnagyságok (OFJ)</t>
  </si>
  <si>
    <t>BOROS-01_SF-112.jpg</t>
  </si>
  <si>
    <t>Földrajzi jelzés nélküli borok (FN)</t>
  </si>
  <si>
    <t>BOROS-01_2D-078.png</t>
  </si>
  <si>
    <t>Borkategóriák és változásaik</t>
  </si>
  <si>
    <t>BOROS-01_SF-113.jpg</t>
  </si>
  <si>
    <t>Termékkategóriák – Földrajzi jelzés nélküli borok (FN)</t>
  </si>
  <si>
    <t>BOROS-01_2DA-021.mp4</t>
  </si>
  <si>
    <t>A borászati termékek csoportosítása</t>
  </si>
  <si>
    <t>BOROS-01_2DA-021_borito.png</t>
  </si>
  <si>
    <t>BOROS-01_SF-115.jpg</t>
  </si>
  <si>
    <t>BOROS-01_2D-076.png</t>
  </si>
  <si>
    <t>BOROS-01_2D-077.png</t>
  </si>
  <si>
    <t>I</t>
  </si>
  <si>
    <t>-</t>
  </si>
  <si>
    <t>x</t>
  </si>
  <si>
    <t>Megjegyzés: A blokk végén lévő "Összefoglaló, mit tanultál eddig?" 3 médiaelemet tartalmaz (ezek korábban szerepeltek a DT-ban)</t>
  </si>
  <si>
    <t>Megjegyzés: A blokk végén lévő "Összefoglaló - miről tanultál eddig?" 5 médiaelemet tartalmaz (korábban szerepeltek a DT-ban)</t>
  </si>
  <si>
    <t>Megjegyzés: Ez a médiaelem már szerepelt korábban a DT-ban másik néven: EM-1.1.1_RRF221_media/BOROS-01_SF-065.jpg</t>
  </si>
  <si>
    <t>Megjegyzés: A blokk végén az "Összefoglaló – Miről tanultál eddig?" részben, illetve az ezt követő tesztkérdésekben is + 1-1 médiaelem szerepel (melyek a DT-ban korábban szerepeltek)</t>
  </si>
  <si>
    <t>Magyar borászati termékek – Tájborok (OFJ) 1. itt van még plusz 7 médiaelem, ami hiányzik az ellenőrző excelből, korábban nem szerepeltek a DT-ban</t>
  </si>
  <si>
    <t>A tananyagban egy kép szerepel, nem videó!</t>
  </si>
  <si>
    <t>Megjegyzés: A blokk végén lévő "Összefoglaló - miről tanultál eddig?" 1 plusz médiaelemet tartalmaz (korábban szerepelt a DT-ban)</t>
  </si>
  <si>
    <t>Megjegyzés: A Homokkőpincék oldalon is van egy médiaelem:  EM-1.1.1_RRF221_media/BOROS-01_SF-023.jpg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</si>
</sst>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Franklin Gothic Book"/>
      <family val="2"/>
      <charset val="238"/>
    </font>
    <font>
      <sz val="10"/>
      <color theme="1"/>
      <name val="Franklin Gothic Book"/>
      <family val="2"/>
      <charset val="238"/>
    </font>
    <font>
      <b/>
      <sz val="11"/>
      <color theme="1"/>
      <name val="Franklin Gothic Book"/>
      <family val="2"/>
      <charset val="238"/>
    </font>
    <font>
      <sz val="11"/>
      <color theme="1"/>
      <name val="Franklin Gothic Book"/>
      <family val="2"/>
      <charset val="238"/>
    </font>
    <font>
      <sz val="11"/>
      <name val="Franklin Gothic Book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12"/>
      <color rgb="FF0070C0"/>
      <name val="Calibri"/>
      <family val="2"/>
      <charset val="238"/>
      <scheme val="minor"/>
    </font>
    <font>
      <u/>
      <sz val="11"/>
      <color theme="10"/>
      <name val="Arial"/>
    </font>
    <font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7" fillId="0" borderId="0" applyNumberFormat="0" applyFill="0" applyBorder="0" applyAlignment="0" applyProtection="0"/>
    <xf numFmtId="0" fontId="1" fillId="0" borderId="0"/>
  </cellStyleXfs>
  <cellXfs count="140">
    <xf numFmtId="0" fontId="0" fillId="0" borderId="0" xfId="0"/>
    <xf numFmtId="0" fontId="5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0" xfId="1" applyFont="1"/>
    <xf numFmtId="0" fontId="5" fillId="0" borderId="8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10" fillId="2" borderId="3" xfId="2" applyFont="1" applyFill="1" applyBorder="1" applyAlignment="1">
      <alignment wrapText="1"/>
    </xf>
    <xf numFmtId="0" fontId="10" fillId="2" borderId="3" xfId="2" applyFont="1" applyFill="1" applyBorder="1" applyAlignment="1">
      <alignment horizontal="left" vertical="center" wrapText="1"/>
    </xf>
    <xf numFmtId="0" fontId="2" fillId="0" borderId="0" xfId="2"/>
    <xf numFmtId="0" fontId="11" fillId="0" borderId="3" xfId="2" applyFont="1" applyBorder="1" applyAlignment="1">
      <alignment wrapText="1"/>
    </xf>
    <xf numFmtId="0" fontId="11" fillId="0" borderId="3" xfId="2" applyFont="1" applyBorder="1" applyAlignment="1">
      <alignment horizontal="right" wrapText="1"/>
    </xf>
    <xf numFmtId="0" fontId="0" fillId="0" borderId="3" xfId="2" applyFont="1" applyBorder="1" applyAlignment="1">
      <alignment wrapText="1"/>
    </xf>
    <xf numFmtId="0" fontId="2" fillId="0" borderId="3" xfId="2" applyBorder="1" applyAlignment="1">
      <alignment horizontal="right" wrapText="1"/>
    </xf>
    <xf numFmtId="0" fontId="2" fillId="0" borderId="0" xfId="2" applyAlignment="1">
      <alignment wrapText="1"/>
    </xf>
    <xf numFmtId="0" fontId="2" fillId="0" borderId="0" xfId="2" applyAlignment="1">
      <alignment horizontal="right" wrapText="1"/>
    </xf>
    <xf numFmtId="0" fontId="12" fillId="0" borderId="3" xfId="2" applyFont="1" applyBorder="1" applyAlignment="1">
      <alignment horizontal="right" wrapText="1"/>
    </xf>
    <xf numFmtId="0" fontId="7" fillId="0" borderId="10" xfId="0" applyFont="1" applyBorder="1" applyAlignment="1">
      <alignment wrapText="1"/>
    </xf>
    <xf numFmtId="49" fontId="7" fillId="0" borderId="33" xfId="0" applyNumberFormat="1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49" fontId="7" fillId="0" borderId="34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center" vertical="top" wrapText="1"/>
    </xf>
    <xf numFmtId="49" fontId="7" fillId="0" borderId="26" xfId="0" applyNumberFormat="1" applyFont="1" applyBorder="1" applyAlignment="1">
      <alignment vertical="top" wrapText="1"/>
    </xf>
    <xf numFmtId="0" fontId="7" fillId="0" borderId="11" xfId="0" applyFont="1" applyBorder="1" applyAlignment="1">
      <alignment wrapText="1"/>
    </xf>
    <xf numFmtId="49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49" fontId="6" fillId="0" borderId="32" xfId="0" applyNumberFormat="1" applyFont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left" vertical="center" wrapText="1"/>
    </xf>
    <xf numFmtId="49" fontId="6" fillId="0" borderId="31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left" vertic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7" fillId="0" borderId="40" xfId="0" applyNumberFormat="1" applyFont="1" applyBorder="1" applyAlignment="1">
      <alignment horizontal="left" vertical="top" wrapText="1"/>
    </xf>
    <xf numFmtId="0" fontId="7" fillId="0" borderId="39" xfId="0" applyFont="1" applyBorder="1" applyAlignment="1">
      <alignment horizontal="left" vertical="center" wrapText="1"/>
    </xf>
    <xf numFmtId="0" fontId="17" fillId="0" borderId="0" xfId="3" applyAlignment="1">
      <alignment vertical="center"/>
    </xf>
    <xf numFmtId="49" fontId="7" fillId="0" borderId="41" xfId="0" applyNumberFormat="1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9" fillId="0" borderId="17" xfId="4" applyFont="1" applyBorder="1" applyAlignment="1">
      <alignment vertical="center"/>
    </xf>
    <xf numFmtId="0" fontId="1" fillId="3" borderId="18" xfId="4" applyFill="1" applyBorder="1" applyAlignment="1">
      <alignment vertical="center"/>
    </xf>
    <xf numFmtId="0" fontId="1" fillId="0" borderId="17" xfId="4" applyBorder="1" applyAlignment="1">
      <alignment vertical="center" wrapText="1"/>
    </xf>
    <xf numFmtId="0" fontId="1" fillId="3" borderId="18" xfId="4" applyFill="1" applyBorder="1" applyAlignment="1">
      <alignment vertical="center" wrapText="1"/>
    </xf>
    <xf numFmtId="0" fontId="1" fillId="0" borderId="9" xfId="4" applyBorder="1" applyAlignment="1">
      <alignment vertical="center" wrapText="1"/>
    </xf>
    <xf numFmtId="0" fontId="1" fillId="4" borderId="2" xfId="4" applyFill="1" applyBorder="1"/>
    <xf numFmtId="0" fontId="1" fillId="0" borderId="0" xfId="4"/>
    <xf numFmtId="0" fontId="1" fillId="0" borderId="0" xfId="4" applyAlignment="1">
      <alignment horizontal="center"/>
    </xf>
    <xf numFmtId="2" fontId="1" fillId="0" borderId="0" xfId="4" applyNumberFormat="1"/>
    <xf numFmtId="0" fontId="10" fillId="0" borderId="14" xfId="4" applyFont="1" applyBorder="1" applyAlignment="1">
      <alignment horizontal="left" vertical="center"/>
    </xf>
    <xf numFmtId="0" fontId="11" fillId="0" borderId="6" xfId="4" applyFont="1" applyBorder="1" applyAlignment="1">
      <alignment horizontal="left" vertical="center" wrapText="1"/>
    </xf>
    <xf numFmtId="0" fontId="1" fillId="4" borderId="8" xfId="4" applyFill="1" applyBorder="1"/>
    <xf numFmtId="0" fontId="10" fillId="0" borderId="17" xfId="4" applyFont="1" applyBorder="1" applyAlignment="1">
      <alignment vertical="center"/>
    </xf>
    <xf numFmtId="0" fontId="10" fillId="0" borderId="0" xfId="4" applyFont="1" applyAlignment="1">
      <alignment vertical="center"/>
    </xf>
    <xf numFmtId="0" fontId="10" fillId="0" borderId="0" xfId="4" applyFont="1" applyAlignment="1">
      <alignment vertical="center" wrapText="1"/>
    </xf>
    <xf numFmtId="0" fontId="10" fillId="0" borderId="16" xfId="4" applyFont="1" applyBorder="1" applyAlignment="1">
      <alignment vertical="center" wrapText="1"/>
    </xf>
    <xf numFmtId="0" fontId="10" fillId="3" borderId="17" xfId="4" applyFont="1" applyFill="1" applyBorder="1" applyAlignment="1">
      <alignment horizontal="center" vertical="center" wrapText="1"/>
    </xf>
    <xf numFmtId="0" fontId="10" fillId="3" borderId="42" xfId="4" applyFont="1" applyFill="1" applyBorder="1" applyAlignment="1">
      <alignment horizontal="center" vertical="center"/>
    </xf>
    <xf numFmtId="0" fontId="10" fillId="3" borderId="14" xfId="4" applyFont="1" applyFill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4" borderId="28" xfId="4" applyFont="1" applyFill="1" applyBorder="1" applyAlignment="1">
      <alignment horizontal="center"/>
    </xf>
    <xf numFmtId="2" fontId="10" fillId="4" borderId="29" xfId="4" applyNumberFormat="1" applyFont="1" applyFill="1" applyBorder="1" applyAlignment="1">
      <alignment horizontal="center" vertical="center" wrapText="1"/>
    </xf>
    <xf numFmtId="0" fontId="13" fillId="0" borderId="30" xfId="4" applyFont="1" applyBorder="1" applyAlignment="1">
      <alignment vertical="center"/>
    </xf>
    <xf numFmtId="0" fontId="11" fillId="3" borderId="9" xfId="4" applyFont="1" applyFill="1" applyBorder="1"/>
    <xf numFmtId="0" fontId="11" fillId="3" borderId="1" xfId="4" applyFont="1" applyFill="1" applyBorder="1" applyAlignment="1">
      <alignment wrapText="1"/>
    </xf>
    <xf numFmtId="0" fontId="11" fillId="3" borderId="11" xfId="4" applyFont="1" applyFill="1" applyBorder="1" applyAlignment="1">
      <alignment wrapText="1"/>
    </xf>
    <xf numFmtId="0" fontId="11" fillId="0" borderId="0" xfId="4" applyFont="1" applyAlignment="1">
      <alignment wrapText="1"/>
    </xf>
    <xf numFmtId="0" fontId="1" fillId="4" borderId="3" xfId="4" applyFill="1" applyBorder="1" applyAlignment="1">
      <alignment horizontal="center"/>
    </xf>
    <xf numFmtId="0" fontId="1" fillId="4" borderId="1" xfId="4" applyFill="1" applyBorder="1" applyAlignment="1">
      <alignment horizontal="center"/>
    </xf>
    <xf numFmtId="2" fontId="11" fillId="4" borderId="1" xfId="4" applyNumberFormat="1" applyFont="1" applyFill="1" applyBorder="1"/>
    <xf numFmtId="0" fontId="1" fillId="3" borderId="4" xfId="4" applyFill="1" applyBorder="1"/>
    <xf numFmtId="0" fontId="13" fillId="0" borderId="31" xfId="4" applyFont="1" applyBorder="1" applyAlignment="1">
      <alignment vertical="center" wrapText="1"/>
    </xf>
    <xf numFmtId="0" fontId="11" fillId="3" borderId="5" xfId="4" applyFont="1" applyFill="1" applyBorder="1"/>
    <xf numFmtId="0" fontId="11" fillId="3" borderId="3" xfId="4" applyFont="1" applyFill="1" applyBorder="1" applyAlignment="1">
      <alignment wrapText="1"/>
    </xf>
    <xf numFmtId="0" fontId="1" fillId="4" borderId="3" xfId="4" applyFill="1" applyBorder="1"/>
    <xf numFmtId="2" fontId="1" fillId="4" borderId="3" xfId="4" applyNumberFormat="1" applyFill="1" applyBorder="1"/>
    <xf numFmtId="14" fontId="16" fillId="0" borderId="0" xfId="4" applyNumberFormat="1" applyFont="1" applyAlignment="1">
      <alignment vertical="center"/>
    </xf>
    <xf numFmtId="0" fontId="16" fillId="0" borderId="0" xfId="4" applyFont="1" applyAlignment="1">
      <alignment vertical="center"/>
    </xf>
    <xf numFmtId="0" fontId="1" fillId="0" borderId="31" xfId="4" applyBorder="1"/>
    <xf numFmtId="2" fontId="11" fillId="4" borderId="3" xfId="4" applyNumberFormat="1" applyFont="1" applyFill="1" applyBorder="1"/>
    <xf numFmtId="0" fontId="18" fillId="0" borderId="0" xfId="4" applyFont="1"/>
    <xf numFmtId="0" fontId="1" fillId="0" borderId="32" xfId="4" applyBorder="1"/>
    <xf numFmtId="0" fontId="11" fillId="3" borderId="6" xfId="4" applyFont="1" applyFill="1" applyBorder="1"/>
    <xf numFmtId="0" fontId="11" fillId="3" borderId="7" xfId="4" applyFont="1" applyFill="1" applyBorder="1" applyAlignment="1">
      <alignment wrapText="1"/>
    </xf>
    <xf numFmtId="0" fontId="1" fillId="4" borderId="7" xfId="4" applyFill="1" applyBorder="1" applyAlignment="1">
      <alignment horizontal="center"/>
    </xf>
    <xf numFmtId="2" fontId="11" fillId="4" borderId="7" xfId="4" applyNumberFormat="1" applyFont="1" applyFill="1" applyBorder="1"/>
    <xf numFmtId="0" fontId="1" fillId="3" borderId="8" xfId="4" applyFill="1" applyBorder="1"/>
    <xf numFmtId="0" fontId="1" fillId="0" borderId="0" xfId="4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0" fontId="10" fillId="3" borderId="19" xfId="4" applyFont="1" applyFill="1" applyBorder="1" applyAlignment="1">
      <alignment horizontal="center" vertical="center" wrapText="1"/>
    </xf>
    <xf numFmtId="0" fontId="10" fillId="3" borderId="20" xfId="4" applyFont="1" applyFill="1" applyBorder="1" applyAlignment="1">
      <alignment horizontal="center" vertical="center" wrapText="1"/>
    </xf>
    <xf numFmtId="0" fontId="10" fillId="3" borderId="15" xfId="4" applyFont="1" applyFill="1" applyBorder="1" applyAlignment="1">
      <alignment horizontal="center" vertical="center" wrapText="1"/>
    </xf>
    <xf numFmtId="0" fontId="9" fillId="3" borderId="21" xfId="4" applyFont="1" applyFill="1" applyBorder="1" applyAlignment="1">
      <alignment horizontal="center" vertical="center" wrapText="1"/>
    </xf>
    <xf numFmtId="0" fontId="9" fillId="3" borderId="22" xfId="4" applyFont="1" applyFill="1" applyBorder="1" applyAlignment="1">
      <alignment horizontal="center" vertical="center" wrapText="1"/>
    </xf>
    <xf numFmtId="0" fontId="9" fillId="3" borderId="23" xfId="4" applyFont="1" applyFill="1" applyBorder="1" applyAlignment="1">
      <alignment horizontal="center" vertical="center" wrapText="1"/>
    </xf>
    <xf numFmtId="0" fontId="9" fillId="3" borderId="24" xfId="4" applyFont="1" applyFill="1" applyBorder="1" applyAlignment="1">
      <alignment horizontal="center" vertical="center" wrapText="1"/>
    </xf>
    <xf numFmtId="0" fontId="9" fillId="3" borderId="25" xfId="4" applyFont="1" applyFill="1" applyBorder="1" applyAlignment="1">
      <alignment horizontal="center" vertical="center" wrapText="1"/>
    </xf>
    <xf numFmtId="0" fontId="9" fillId="3" borderId="26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 vertical="center" wrapText="1"/>
    </xf>
    <xf numFmtId="0" fontId="9" fillId="3" borderId="28" xfId="4" applyFont="1" applyFill="1" applyBorder="1" applyAlignment="1">
      <alignment horizontal="center" vertical="center" wrapText="1"/>
    </xf>
  </cellXfs>
  <cellStyles count="5">
    <cellStyle name="Hivatkozás" xfId="3" builtinId="8"/>
    <cellStyle name="Normál" xfId="0" builtinId="0"/>
    <cellStyle name="Normál 2" xfId="1" xr:uid="{00000000-0005-0000-0000-000002000000}"/>
    <cellStyle name="Normál 2 2" xfId="2" xr:uid="{00000000-0005-0000-0000-000003000000}"/>
    <cellStyle name="Normál 2 2 2" xfId="4" xr:uid="{50E3C01C-80E0-4F36-AA4C-C1C861D70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kfs\IKK-Share\Users\szucs.daniel\Desktop\sablon_formaiell_D_modosit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28.10.100\Clarity\Ugyfel\IKK_Innovat&#237;v_K&#233;pz&#233;st&#225;mogat&#243;_K&#246;zpont\IKKPQA03_GINOP_tananyag_QA\Munka\Kapott\Digit_tananyagok\1\EM-1.1.1-Formaiell_D.xlsx" TargetMode="External"/><Relationship Id="rId1" Type="http://schemas.openxmlformats.org/officeDocument/2006/relationships/externalLinkPath" Target="file:///\\172.28.10.100\Clarity\Ugyfel\IKK_Innovat&#237;v_K&#233;pz&#233;st&#225;mogat&#243;_K&#246;zpont\IKKPQA03_GINOP_tananyag_QA\Munka\Kapott\Digit_tananyagok\1\EM-1.1.1-Formaiell_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padatok"/>
      <sheetName val="EM-1.1.1"/>
      <sheetName val="EM-1.1.1_MK"/>
      <sheetName val="Médiatípusok"/>
    </sheetNames>
    <sheetDataSet>
      <sheetData sheetId="0"/>
      <sheetData sheetId="1"/>
      <sheetData sheetId="2"/>
      <sheetData sheetId="3">
        <row r="2">
          <cell r="A2" t="str">
            <v>2D animáció</v>
          </cell>
        </row>
        <row r="3">
          <cell r="A3" t="str">
            <v>2D grafika</v>
          </cell>
        </row>
        <row r="4">
          <cell r="A4" t="str">
            <v>3D animáció</v>
          </cell>
        </row>
        <row r="5">
          <cell r="A5" t="str">
            <v>3D grafika</v>
          </cell>
        </row>
        <row r="6">
          <cell r="A6" t="str">
            <v>Fotó</v>
          </cell>
        </row>
        <row r="7">
          <cell r="A7" t="str">
            <v>Videó egyszereplős</v>
          </cell>
        </row>
        <row r="8">
          <cell r="A8" t="str">
            <v>Videó egyszereplős narrációval</v>
          </cell>
        </row>
        <row r="9">
          <cell r="A9" t="str">
            <v>Videó többszereplős</v>
          </cell>
        </row>
        <row r="10">
          <cell r="A10" t="str">
            <v>Videó többszereplős narrációval</v>
          </cell>
        </row>
        <row r="11">
          <cell r="A11" t="str">
            <v>Hangzóanyag</v>
          </cell>
        </row>
        <row r="12">
          <cell r="A12" t="str">
            <v>Interaktív animáció (szimuláció)</v>
          </cell>
        </row>
        <row r="13">
          <cell r="A13" t="str">
            <v>Ismétlődik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apadatok"/>
      <sheetName val="EM-1.1.1"/>
      <sheetName val="EM-1.1.1-MK"/>
      <sheetName val="Médiatípusok"/>
    </sheetNames>
    <sheetDataSet>
      <sheetData sheetId="0"/>
      <sheetData sheetId="1"/>
      <sheetData sheetId="2"/>
      <sheetData sheetId="3">
        <row r="2">
          <cell r="A2" t="str">
            <v>2D animáció</v>
          </cell>
        </row>
        <row r="3">
          <cell r="A3" t="str">
            <v>2D grafika</v>
          </cell>
        </row>
        <row r="4">
          <cell r="A4" t="str">
            <v>3D animáció</v>
          </cell>
        </row>
        <row r="5">
          <cell r="A5" t="str">
            <v>3D grafika</v>
          </cell>
        </row>
        <row r="6">
          <cell r="A6" t="str">
            <v>Fotó</v>
          </cell>
        </row>
        <row r="7">
          <cell r="A7" t="str">
            <v>Videó egyszereplős</v>
          </cell>
        </row>
        <row r="8">
          <cell r="A8" t="str">
            <v>Videó egyszereplős narrációval</v>
          </cell>
        </row>
        <row r="9">
          <cell r="A9" t="str">
            <v>Videó többszereplős</v>
          </cell>
        </row>
        <row r="10">
          <cell r="A10" t="str">
            <v>Videó többszereplős narrációval</v>
          </cell>
        </row>
        <row r="11">
          <cell r="A11" t="str">
            <v>Hangzóanyag</v>
          </cell>
        </row>
        <row r="12">
          <cell r="A12" t="str">
            <v>Interaktív animáció (szimuláció)</v>
          </cell>
        </row>
        <row r="13">
          <cell r="A13" t="str">
            <v>Ismétlődik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3" sqref="B3"/>
    </sheetView>
  </sheetViews>
  <sheetFormatPr defaultColWidth="8.59765625" defaultRowHeight="13.8" x14ac:dyDescent="0.3"/>
  <cols>
    <col min="1" max="1" width="16" style="4" customWidth="1"/>
    <col min="2" max="2" width="30.69921875" style="4" customWidth="1"/>
    <col min="3" max="3" width="17.8984375" style="4" customWidth="1"/>
    <col min="4" max="4" width="32.09765625" style="4" customWidth="1"/>
    <col min="5" max="5" width="17.8984375" style="4" customWidth="1"/>
    <col min="6" max="6" width="18" style="4" customWidth="1"/>
    <col min="7" max="7" width="29.59765625" style="4" customWidth="1"/>
    <col min="8" max="16384" width="8.59765625" style="4"/>
  </cols>
  <sheetData>
    <row r="1" spans="1:5" ht="13.5" customHeight="1" x14ac:dyDescent="0.3">
      <c r="A1" s="119" t="s">
        <v>2</v>
      </c>
      <c r="B1" s="117" t="s">
        <v>3</v>
      </c>
      <c r="C1" s="117" t="s">
        <v>7</v>
      </c>
      <c r="D1" s="117" t="s">
        <v>4</v>
      </c>
      <c r="E1" s="121"/>
    </row>
    <row r="2" spans="1:5" ht="41.4" x14ac:dyDescent="0.3">
      <c r="A2" s="120"/>
      <c r="B2" s="118"/>
      <c r="C2" s="118"/>
      <c r="D2" s="3" t="s">
        <v>5</v>
      </c>
      <c r="E2" s="7" t="s">
        <v>6</v>
      </c>
    </row>
    <row r="3" spans="1:5" ht="97.2" thickBot="1" x14ac:dyDescent="0.35">
      <c r="A3" s="6" t="s">
        <v>67</v>
      </c>
      <c r="B3" s="1" t="s">
        <v>68</v>
      </c>
      <c r="C3" s="2">
        <v>5</v>
      </c>
      <c r="D3" s="1" t="s">
        <v>69</v>
      </c>
      <c r="E3" s="5">
        <v>91</v>
      </c>
    </row>
    <row r="24" ht="62.1" customHeight="1" x14ac:dyDescent="0.3"/>
  </sheetData>
  <customSheetViews>
    <customSheetView guid="{478CA3E6-D3B7-440E-A0FE-B9DB10FB59B5}">
      <selection activeCell="D4" sqref="D4"/>
      <pageMargins left="0.7" right="0.7" top="0.75" bottom="0.75" header="0.3" footer="0.3"/>
      <pageSetup paperSize="9" orientation="portrait" verticalDpi="300" r:id="rId1"/>
    </customSheetView>
  </customSheetViews>
  <mergeCells count="4">
    <mergeCell ref="B1:B2"/>
    <mergeCell ref="A1:A2"/>
    <mergeCell ref="D1:E1"/>
    <mergeCell ref="C1:C2"/>
  </mergeCells>
  <pageMargins left="0.7" right="0.7" top="0.75" bottom="0.75" header="0.3" footer="0.3"/>
  <pageSetup paperSize="9"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57"/>
  <sheetViews>
    <sheetView topLeftCell="A11" zoomScaleNormal="100" workbookViewId="0">
      <selection activeCell="B15" sqref="B15"/>
    </sheetView>
  </sheetViews>
  <sheetFormatPr defaultColWidth="12.59765625" defaultRowHeight="15" x14ac:dyDescent="0.35"/>
  <cols>
    <col min="1" max="1" width="33.59765625" style="59" customWidth="1"/>
    <col min="2" max="3" width="7.09765625" style="14" customWidth="1"/>
    <col min="4" max="4" width="29.09765625" style="14" customWidth="1"/>
    <col min="5" max="5" width="68.59765625" style="27" customWidth="1"/>
    <col min="6" max="6" width="63" style="32" customWidth="1"/>
    <col min="7" max="7" width="27.59765625" style="31" customWidth="1"/>
    <col min="8" max="8" width="29" style="32" customWidth="1"/>
    <col min="9" max="9" width="7.69921875" style="25" customWidth="1"/>
    <col min="10" max="28" width="7.69921875" style="14" customWidth="1"/>
    <col min="29" max="16384" width="12.59765625" style="14"/>
  </cols>
  <sheetData>
    <row r="1" spans="1:28" s="32" customFormat="1" ht="47.4" customHeight="1" thickBot="1" x14ac:dyDescent="0.4">
      <c r="A1" s="55" t="s">
        <v>8</v>
      </c>
      <c r="B1" s="122" t="s">
        <v>68</v>
      </c>
      <c r="C1" s="123"/>
      <c r="D1" s="124"/>
      <c r="E1" s="60"/>
      <c r="F1" s="30"/>
      <c r="G1" s="31"/>
    </row>
    <row r="2" spans="1:28" s="42" customFormat="1" ht="30" customHeight="1" thickBot="1" x14ac:dyDescent="0.3">
      <c r="A2" s="51" t="s">
        <v>41</v>
      </c>
      <c r="B2" s="52" t="s">
        <v>0</v>
      </c>
      <c r="C2" s="53" t="s">
        <v>1</v>
      </c>
      <c r="D2" s="54" t="s">
        <v>42</v>
      </c>
      <c r="E2" s="61" t="s">
        <v>43</v>
      </c>
      <c r="F2" s="33"/>
      <c r="G2" s="34"/>
      <c r="H2" s="33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s="32" customFormat="1" ht="90" x14ac:dyDescent="0.35">
      <c r="A3" s="46" t="s">
        <v>52</v>
      </c>
      <c r="B3" s="48" t="s">
        <v>556</v>
      </c>
      <c r="C3" s="9"/>
      <c r="D3" s="10"/>
      <c r="E3" s="62" t="s">
        <v>44</v>
      </c>
      <c r="F3" s="35"/>
      <c r="G3" s="35"/>
      <c r="H3" s="3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28" s="32" customFormat="1" ht="120" x14ac:dyDescent="0.35">
      <c r="A4" s="47" t="s">
        <v>53</v>
      </c>
      <c r="B4" s="49" t="s">
        <v>556</v>
      </c>
      <c r="C4" s="11"/>
      <c r="D4" s="12"/>
      <c r="E4" s="63" t="s">
        <v>65</v>
      </c>
      <c r="F4" s="35"/>
      <c r="G4" s="35"/>
      <c r="H4" s="36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28" s="32" customFormat="1" ht="105" x14ac:dyDescent="0.35">
      <c r="A5" s="47" t="s">
        <v>54</v>
      </c>
      <c r="B5" s="49" t="s">
        <v>556</v>
      </c>
      <c r="C5" s="11"/>
      <c r="D5" s="12"/>
      <c r="E5" s="63" t="s">
        <v>45</v>
      </c>
      <c r="F5" s="35"/>
      <c r="G5" s="35"/>
      <c r="H5" s="35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spans="1:28" s="32" customFormat="1" ht="45" x14ac:dyDescent="0.35">
      <c r="A6" s="47" t="s">
        <v>55</v>
      </c>
      <c r="B6" s="49" t="s">
        <v>556</v>
      </c>
      <c r="C6" s="11"/>
      <c r="D6" s="12"/>
      <c r="E6" s="63" t="s">
        <v>66</v>
      </c>
      <c r="F6" s="37"/>
      <c r="G6" s="38"/>
      <c r="H6" s="35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1:28" s="32" customFormat="1" ht="45" x14ac:dyDescent="0.35">
      <c r="A7" s="47" t="s">
        <v>46</v>
      </c>
      <c r="B7" s="49" t="s">
        <v>556</v>
      </c>
      <c r="C7" s="11"/>
      <c r="D7" s="12"/>
      <c r="E7" s="63" t="s">
        <v>47</v>
      </c>
      <c r="F7" s="35"/>
      <c r="G7" s="35"/>
      <c r="H7" s="35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28" s="32" customFormat="1" ht="30" x14ac:dyDescent="0.35">
      <c r="A8" s="47" t="s">
        <v>56</v>
      </c>
      <c r="B8" s="49" t="s">
        <v>556</v>
      </c>
      <c r="C8" s="11"/>
      <c r="D8" s="12"/>
      <c r="E8" s="63" t="s">
        <v>48</v>
      </c>
      <c r="F8" s="35"/>
      <c r="G8" s="35"/>
      <c r="H8" s="35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 spans="1:28" s="32" customFormat="1" ht="120" x14ac:dyDescent="0.35">
      <c r="A9" s="47" t="s">
        <v>57</v>
      </c>
      <c r="B9" s="49" t="s">
        <v>556</v>
      </c>
      <c r="C9" s="11"/>
      <c r="D9" s="12"/>
      <c r="E9" s="64" t="s">
        <v>59</v>
      </c>
      <c r="G9" s="35"/>
      <c r="H9" s="35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s="32" customFormat="1" ht="90" x14ac:dyDescent="0.35">
      <c r="A10" s="47" t="s">
        <v>58</v>
      </c>
      <c r="B10" s="49" t="s">
        <v>556</v>
      </c>
      <c r="C10" s="11"/>
      <c r="D10" s="12"/>
      <c r="E10" s="63" t="s">
        <v>60</v>
      </c>
      <c r="F10" s="37"/>
      <c r="G10" s="35"/>
      <c r="H10" s="35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28" s="32" customFormat="1" ht="30" x14ac:dyDescent="0.35">
      <c r="A11" s="47" t="s">
        <v>61</v>
      </c>
      <c r="B11" s="49" t="s">
        <v>556</v>
      </c>
      <c r="C11" s="11"/>
      <c r="D11" s="12"/>
      <c r="E11" s="63" t="s">
        <v>50</v>
      </c>
      <c r="G11" s="35"/>
      <c r="H11" s="35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spans="1:28" s="32" customFormat="1" ht="75" x14ac:dyDescent="0.35">
      <c r="A12" s="56" t="s">
        <v>62</v>
      </c>
      <c r="B12" s="68" t="s">
        <v>556</v>
      </c>
      <c r="C12" s="14"/>
      <c r="D12" s="50"/>
      <c r="E12" s="65" t="s">
        <v>51</v>
      </c>
      <c r="G12" s="31"/>
    </row>
    <row r="13" spans="1:28" s="32" customFormat="1" ht="135" x14ac:dyDescent="0.35">
      <c r="A13" s="56" t="s">
        <v>64</v>
      </c>
      <c r="B13" s="68" t="s">
        <v>556</v>
      </c>
      <c r="C13" s="14"/>
      <c r="D13" s="50"/>
      <c r="E13" s="65" t="s">
        <v>49</v>
      </c>
      <c r="G13" s="31"/>
    </row>
    <row r="14" spans="1:28" s="32" customFormat="1" ht="59.25" customHeight="1" thickBot="1" x14ac:dyDescent="0.4">
      <c r="A14" s="45" t="s">
        <v>63</v>
      </c>
      <c r="B14" s="125" t="s">
        <v>557</v>
      </c>
      <c r="C14" s="126"/>
      <c r="D14" s="127"/>
      <c r="E14" s="67"/>
      <c r="F14" s="35"/>
      <c r="G14" s="35"/>
      <c r="H14" s="35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spans="1:28" s="32" customFormat="1" x14ac:dyDescent="0.35">
      <c r="A15" s="37"/>
      <c r="B15" s="43"/>
      <c r="C15" s="43"/>
      <c r="D15" s="43"/>
      <c r="E15" s="37"/>
      <c r="F15" s="35"/>
      <c r="G15" s="35"/>
      <c r="H15" s="35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spans="1:28" s="32" customFormat="1" x14ac:dyDescent="0.35">
      <c r="A16" s="37"/>
      <c r="B16" s="43"/>
      <c r="C16" s="43"/>
      <c r="D16" s="43"/>
      <c r="E16" s="37"/>
      <c r="F16" s="35"/>
      <c r="G16" s="35"/>
      <c r="H16" s="35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spans="1:28" s="32" customFormat="1" x14ac:dyDescent="0.35">
      <c r="A17" s="44"/>
      <c r="E17" s="44"/>
      <c r="G17" s="31"/>
    </row>
    <row r="18" spans="1:28" s="32" customFormat="1" x14ac:dyDescent="0.35">
      <c r="A18" s="37"/>
      <c r="B18" s="43"/>
      <c r="C18" s="43"/>
      <c r="D18" s="43"/>
      <c r="E18" s="37"/>
      <c r="F18" s="35"/>
      <c r="G18" s="35"/>
      <c r="H18" s="3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 s="32" customFormat="1" x14ac:dyDescent="0.35">
      <c r="A19" s="37"/>
      <c r="B19" s="43"/>
      <c r="C19" s="43"/>
      <c r="D19" s="43"/>
      <c r="E19" s="37"/>
      <c r="F19" s="35"/>
      <c r="G19" s="35"/>
      <c r="H19" s="35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spans="1:28" s="32" customFormat="1" x14ac:dyDescent="0.35">
      <c r="A20" s="37"/>
      <c r="B20" s="43"/>
      <c r="C20" s="43"/>
      <c r="D20" s="43"/>
      <c r="E20" s="37"/>
      <c r="F20" s="35"/>
      <c r="G20" s="35"/>
      <c r="H20" s="35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spans="1:28" s="32" customFormat="1" x14ac:dyDescent="0.35">
      <c r="A21" s="37"/>
      <c r="B21" s="43"/>
      <c r="C21" s="43"/>
      <c r="D21" s="43"/>
      <c r="E21" s="37"/>
      <c r="F21" s="35"/>
      <c r="G21" s="35"/>
      <c r="H21" s="35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 spans="1:28" s="32" customFormat="1" x14ac:dyDescent="0.35">
      <c r="A22" s="37"/>
      <c r="B22" s="43"/>
      <c r="C22" s="43"/>
      <c r="D22" s="43"/>
      <c r="E22" s="37"/>
      <c r="F22" s="35"/>
      <c r="G22" s="35"/>
      <c r="H22" s="35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 spans="1:28" s="32" customFormat="1" x14ac:dyDescent="0.35">
      <c r="A23" s="37"/>
      <c r="B23" s="43"/>
      <c r="C23" s="43"/>
      <c r="D23" s="43"/>
      <c r="E23" s="37"/>
      <c r="F23" s="35"/>
      <c r="G23" s="35"/>
      <c r="H23" s="35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spans="1:28" s="32" customFormat="1" x14ac:dyDescent="0.35">
      <c r="A24" s="37"/>
      <c r="B24" s="43"/>
      <c r="C24" s="43"/>
      <c r="D24" s="43"/>
      <c r="E24" s="37"/>
      <c r="F24" s="35"/>
      <c r="G24" s="35"/>
      <c r="H24" s="3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 spans="1:28" s="32" customFormat="1" x14ac:dyDescent="0.35">
      <c r="A25" s="37"/>
      <c r="B25" s="43"/>
      <c r="C25" s="43"/>
      <c r="D25" s="43"/>
      <c r="E25" s="37"/>
      <c r="F25" s="35"/>
      <c r="G25" s="35"/>
      <c r="H25" s="35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spans="1:28" s="32" customFormat="1" x14ac:dyDescent="0.35">
      <c r="A26" s="37"/>
      <c r="B26" s="43"/>
      <c r="C26" s="43"/>
      <c r="D26" s="43"/>
      <c r="E26" s="37"/>
      <c r="F26" s="35"/>
      <c r="G26" s="35"/>
      <c r="H26" s="35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spans="1:28" s="32" customFormat="1" x14ac:dyDescent="0.35">
      <c r="A27" s="37"/>
      <c r="B27" s="43"/>
      <c r="C27" s="43"/>
      <c r="D27" s="43"/>
      <c r="E27" s="37"/>
      <c r="F27" s="35"/>
      <c r="G27" s="35"/>
      <c r="H27" s="35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 spans="1:28" s="32" customFormat="1" x14ac:dyDescent="0.35">
      <c r="A28" s="37"/>
      <c r="B28" s="43"/>
      <c r="C28" s="43"/>
      <c r="D28" s="43"/>
      <c r="E28" s="37"/>
      <c r="F28" s="35"/>
      <c r="G28" s="35"/>
      <c r="H28" s="35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spans="1:28" s="32" customFormat="1" x14ac:dyDescent="0.35">
      <c r="A29" s="37"/>
      <c r="B29" s="43"/>
      <c r="C29" s="43"/>
      <c r="D29" s="43"/>
      <c r="E29" s="37"/>
      <c r="F29" s="35"/>
      <c r="G29" s="35"/>
      <c r="H29" s="35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1:28" s="32" customFormat="1" x14ac:dyDescent="0.35">
      <c r="A30" s="37"/>
      <c r="B30" s="43"/>
      <c r="C30" s="43"/>
      <c r="D30" s="43"/>
      <c r="E30" s="37"/>
      <c r="F30" s="35"/>
      <c r="G30" s="35"/>
      <c r="H30" s="3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28" s="32" customFormat="1" x14ac:dyDescent="0.35">
      <c r="A31" s="37"/>
      <c r="B31" s="43"/>
      <c r="C31" s="43"/>
      <c r="D31" s="43"/>
      <c r="E31" s="37"/>
      <c r="F31" s="35"/>
      <c r="G31" s="35"/>
      <c r="H31" s="35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spans="1:28" s="32" customFormat="1" x14ac:dyDescent="0.35">
      <c r="A32" s="37"/>
      <c r="B32" s="43"/>
      <c r="C32" s="43"/>
      <c r="D32" s="43"/>
      <c r="E32" s="37"/>
      <c r="F32" s="35"/>
      <c r="G32" s="35"/>
      <c r="H32" s="35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spans="1:28" s="32" customFormat="1" x14ac:dyDescent="0.35">
      <c r="A33" s="37"/>
      <c r="B33" s="43"/>
      <c r="C33" s="43"/>
      <c r="D33" s="43"/>
      <c r="E33" s="37"/>
      <c r="F33" s="35"/>
      <c r="G33" s="35"/>
      <c r="H33" s="35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spans="1:28" s="32" customFormat="1" x14ac:dyDescent="0.35">
      <c r="A34" s="37"/>
      <c r="B34" s="43"/>
      <c r="C34" s="43"/>
      <c r="D34" s="43"/>
      <c r="E34" s="37"/>
      <c r="F34" s="35"/>
      <c r="G34" s="35"/>
      <c r="H34" s="35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spans="1:28" s="32" customFormat="1" x14ac:dyDescent="0.35">
      <c r="A35" s="37"/>
      <c r="B35" s="43"/>
      <c r="C35" s="43"/>
      <c r="D35" s="43"/>
      <c r="E35" s="37"/>
      <c r="F35" s="35"/>
      <c r="G35" s="35"/>
      <c r="H35" s="35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28" s="32" customFormat="1" x14ac:dyDescent="0.35">
      <c r="A36" s="37"/>
      <c r="B36" s="43"/>
      <c r="C36" s="43"/>
      <c r="D36" s="43"/>
      <c r="E36" s="37"/>
      <c r="F36" s="35"/>
      <c r="G36" s="35"/>
      <c r="H36" s="3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spans="1:28" s="32" customFormat="1" x14ac:dyDescent="0.35">
      <c r="A37" s="37"/>
      <c r="B37" s="43"/>
      <c r="C37" s="43"/>
      <c r="D37" s="43"/>
      <c r="E37" s="37"/>
      <c r="F37" s="35"/>
      <c r="G37" s="35"/>
      <c r="H37" s="35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s="32" customFormat="1" x14ac:dyDescent="0.35">
      <c r="A38" s="37"/>
      <c r="B38" s="43"/>
      <c r="C38" s="43"/>
      <c r="D38" s="43"/>
      <c r="E38" s="37"/>
      <c r="F38" s="35"/>
      <c r="G38" s="35"/>
      <c r="H38" s="35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s="32" customFormat="1" x14ac:dyDescent="0.35">
      <c r="A39" s="37"/>
      <c r="B39" s="43"/>
      <c r="C39" s="43"/>
      <c r="D39" s="43"/>
      <c r="E39" s="37"/>
      <c r="F39" s="35"/>
      <c r="G39" s="35"/>
      <c r="H39" s="35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s="32" customFormat="1" x14ac:dyDescent="0.35">
      <c r="A40" s="37"/>
      <c r="B40" s="43"/>
      <c r="C40" s="43"/>
      <c r="D40" s="43"/>
      <c r="E40" s="37"/>
      <c r="F40" s="35"/>
      <c r="G40" s="35"/>
      <c r="H40" s="35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s="32" customFormat="1" x14ac:dyDescent="0.35">
      <c r="A41" s="37"/>
      <c r="B41" s="43"/>
      <c r="C41" s="43"/>
      <c r="D41" s="43"/>
      <c r="E41" s="37"/>
      <c r="F41" s="35"/>
      <c r="G41" s="35"/>
      <c r="H41" s="35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s="32" customFormat="1" x14ac:dyDescent="0.35">
      <c r="A42" s="37"/>
      <c r="B42" s="43"/>
      <c r="C42" s="43"/>
      <c r="D42" s="43"/>
      <c r="E42" s="37"/>
      <c r="F42" s="35"/>
      <c r="G42" s="35"/>
      <c r="H42" s="3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s="32" customFormat="1" x14ac:dyDescent="0.35">
      <c r="A43" s="37"/>
      <c r="B43" s="43"/>
      <c r="C43" s="43"/>
      <c r="D43" s="43"/>
      <c r="E43" s="37"/>
      <c r="F43" s="35"/>
      <c r="G43" s="35"/>
      <c r="H43" s="35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s="32" customFormat="1" x14ac:dyDescent="0.35">
      <c r="A44" s="37"/>
      <c r="B44" s="43"/>
      <c r="C44" s="43"/>
      <c r="D44" s="43"/>
      <c r="E44" s="37"/>
      <c r="F44" s="35"/>
      <c r="G44" s="35"/>
      <c r="H44" s="35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 s="32" customFormat="1" x14ac:dyDescent="0.35">
      <c r="A45" s="37"/>
      <c r="B45" s="43"/>
      <c r="C45" s="43"/>
      <c r="D45" s="43"/>
      <c r="E45" s="37"/>
      <c r="F45" s="35"/>
      <c r="G45" s="35"/>
      <c r="H45" s="35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s="32" customFormat="1" x14ac:dyDescent="0.35">
      <c r="A46" s="37"/>
      <c r="B46" s="43"/>
      <c r="C46" s="43"/>
      <c r="D46" s="43"/>
      <c r="E46" s="37"/>
      <c r="F46" s="35"/>
      <c r="G46" s="35"/>
      <c r="H46" s="3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s="32" customFormat="1" x14ac:dyDescent="0.35">
      <c r="A47" s="37"/>
      <c r="B47" s="43"/>
      <c r="C47" s="43"/>
      <c r="D47" s="43"/>
      <c r="E47" s="37"/>
      <c r="F47" s="35"/>
      <c r="G47" s="35"/>
      <c r="H47" s="35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s="32" customFormat="1" x14ac:dyDescent="0.35">
      <c r="A48" s="37"/>
      <c r="B48" s="43"/>
      <c r="C48" s="43"/>
      <c r="D48" s="43"/>
      <c r="E48" s="37"/>
      <c r="F48" s="35"/>
      <c r="G48" s="35"/>
      <c r="H48" s="3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s="32" customFormat="1" x14ac:dyDescent="0.35">
      <c r="A49" s="37"/>
      <c r="B49" s="43"/>
      <c r="C49" s="43"/>
      <c r="D49" s="43"/>
      <c r="E49" s="37"/>
      <c r="F49" s="35"/>
      <c r="G49" s="35"/>
      <c r="H49" s="35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s="32" customFormat="1" x14ac:dyDescent="0.35">
      <c r="A50" s="37"/>
      <c r="B50" s="43"/>
      <c r="C50" s="43"/>
      <c r="D50" s="43"/>
      <c r="E50" s="37"/>
      <c r="F50" s="35"/>
      <c r="G50" s="35"/>
      <c r="H50" s="35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s="32" customFormat="1" x14ac:dyDescent="0.35">
      <c r="A51" s="37"/>
      <c r="B51" s="43"/>
      <c r="C51" s="43"/>
      <c r="D51" s="43"/>
      <c r="E51" s="37"/>
      <c r="F51" s="35"/>
      <c r="G51" s="35"/>
      <c r="H51" s="35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s="32" customFormat="1" x14ac:dyDescent="0.35">
      <c r="A52" s="37"/>
      <c r="B52" s="43"/>
      <c r="C52" s="43"/>
      <c r="D52" s="43"/>
      <c r="E52" s="37"/>
      <c r="F52" s="35"/>
      <c r="G52" s="35"/>
      <c r="H52" s="35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s="32" customFormat="1" x14ac:dyDescent="0.35">
      <c r="A53" s="37"/>
      <c r="B53" s="43"/>
      <c r="C53" s="43"/>
      <c r="D53" s="43"/>
      <c r="E53" s="37"/>
      <c r="F53" s="35"/>
      <c r="G53" s="35"/>
      <c r="H53" s="35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s="32" customFormat="1" x14ac:dyDescent="0.35">
      <c r="A54" s="37"/>
      <c r="B54" s="43"/>
      <c r="C54" s="43"/>
      <c r="D54" s="43"/>
      <c r="E54" s="37"/>
      <c r="F54" s="35"/>
      <c r="G54" s="35"/>
      <c r="H54" s="3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s="32" customFormat="1" x14ac:dyDescent="0.35">
      <c r="A55" s="37"/>
      <c r="B55" s="43"/>
      <c r="C55" s="43"/>
      <c r="D55" s="43"/>
      <c r="E55" s="37"/>
      <c r="F55" s="35"/>
      <c r="G55" s="35"/>
      <c r="H55" s="35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s="32" customFormat="1" x14ac:dyDescent="0.35">
      <c r="A56" s="37"/>
      <c r="B56" s="43"/>
      <c r="C56" s="43"/>
      <c r="D56" s="43"/>
      <c r="E56" s="37"/>
      <c r="F56" s="35"/>
      <c r="G56" s="35"/>
      <c r="H56" s="35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s="32" customFormat="1" x14ac:dyDescent="0.35">
      <c r="A57" s="37"/>
      <c r="B57" s="43"/>
      <c r="C57" s="43"/>
      <c r="D57" s="43"/>
      <c r="E57" s="37"/>
      <c r="F57" s="35"/>
      <c r="G57" s="35"/>
      <c r="H57" s="35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s="32" customFormat="1" x14ac:dyDescent="0.35">
      <c r="A58" s="37"/>
      <c r="B58" s="43"/>
      <c r="C58" s="43"/>
      <c r="D58" s="43"/>
      <c r="E58" s="37"/>
      <c r="F58" s="35"/>
      <c r="G58" s="35"/>
      <c r="H58" s="35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s="32" customFormat="1" x14ac:dyDescent="0.35">
      <c r="A59" s="37"/>
      <c r="B59" s="43"/>
      <c r="C59" s="43"/>
      <c r="D59" s="43"/>
      <c r="E59" s="37"/>
      <c r="F59" s="35"/>
      <c r="G59" s="35"/>
      <c r="H59" s="35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s="32" customFormat="1" x14ac:dyDescent="0.35">
      <c r="A60" s="37"/>
      <c r="B60" s="43"/>
      <c r="C60" s="43"/>
      <c r="D60" s="43"/>
      <c r="E60" s="37"/>
      <c r="F60" s="35"/>
      <c r="G60" s="35"/>
      <c r="H60" s="3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s="32" customFormat="1" x14ac:dyDescent="0.35">
      <c r="A61" s="37"/>
      <c r="B61" s="43"/>
      <c r="C61" s="43"/>
      <c r="D61" s="43"/>
      <c r="E61" s="37"/>
      <c r="F61" s="35"/>
      <c r="G61" s="35"/>
      <c r="H61" s="35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s="32" customFormat="1" x14ac:dyDescent="0.35">
      <c r="A62" s="37"/>
      <c r="B62" s="43"/>
      <c r="C62" s="43"/>
      <c r="D62" s="43"/>
      <c r="E62" s="37"/>
      <c r="F62" s="35"/>
      <c r="G62" s="35"/>
      <c r="H62" s="35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s="32" customFormat="1" x14ac:dyDescent="0.35">
      <c r="A63" s="37"/>
      <c r="B63" s="43"/>
      <c r="C63" s="43"/>
      <c r="D63" s="43"/>
      <c r="E63" s="37"/>
      <c r="F63" s="35"/>
      <c r="G63" s="35"/>
      <c r="H63" s="35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s="32" customFormat="1" x14ac:dyDescent="0.35">
      <c r="A64" s="37"/>
      <c r="B64" s="43"/>
      <c r="C64" s="43"/>
      <c r="D64" s="43"/>
      <c r="E64" s="37"/>
      <c r="F64" s="35"/>
      <c r="G64" s="35"/>
      <c r="H64" s="35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s="32" customFormat="1" x14ac:dyDescent="0.35">
      <c r="A65" s="37"/>
      <c r="B65" s="43"/>
      <c r="C65" s="43"/>
      <c r="D65" s="43"/>
      <c r="E65" s="37"/>
      <c r="F65" s="35"/>
      <c r="G65" s="35"/>
      <c r="H65" s="35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s="32" customFormat="1" x14ac:dyDescent="0.35">
      <c r="A66" s="37"/>
      <c r="B66" s="43"/>
      <c r="C66" s="43"/>
      <c r="D66" s="43"/>
      <c r="E66" s="37"/>
      <c r="F66" s="35"/>
      <c r="G66" s="35"/>
      <c r="H66" s="3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s="32" customFormat="1" x14ac:dyDescent="0.35">
      <c r="A67" s="37"/>
      <c r="B67" s="43"/>
      <c r="C67" s="43"/>
      <c r="D67" s="43"/>
      <c r="E67" s="37"/>
      <c r="F67" s="35"/>
      <c r="G67" s="35"/>
      <c r="H67" s="35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s="32" customFormat="1" x14ac:dyDescent="0.35">
      <c r="A68" s="37"/>
      <c r="B68" s="43"/>
      <c r="C68" s="43"/>
      <c r="D68" s="43"/>
      <c r="E68" s="37"/>
      <c r="F68" s="35"/>
      <c r="G68" s="35"/>
      <c r="H68" s="35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s="32" customFormat="1" x14ac:dyDescent="0.35">
      <c r="A69" s="37"/>
      <c r="B69" s="43"/>
      <c r="C69" s="43"/>
      <c r="D69" s="43"/>
      <c r="E69" s="37"/>
      <c r="F69" s="35"/>
      <c r="G69" s="35"/>
      <c r="H69" s="35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s="32" customFormat="1" x14ac:dyDescent="0.35">
      <c r="A70" s="37"/>
      <c r="B70" s="43"/>
      <c r="C70" s="43"/>
      <c r="D70" s="43"/>
      <c r="E70" s="37"/>
      <c r="F70" s="35"/>
      <c r="G70" s="35"/>
      <c r="H70" s="35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s="32" customFormat="1" x14ac:dyDescent="0.35">
      <c r="A71" s="37"/>
      <c r="B71" s="43"/>
      <c r="C71" s="43"/>
      <c r="D71" s="43"/>
      <c r="E71" s="37"/>
      <c r="F71" s="35"/>
      <c r="G71" s="35"/>
      <c r="H71" s="35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s="32" customFormat="1" x14ac:dyDescent="0.35">
      <c r="A72" s="37"/>
      <c r="B72" s="43"/>
      <c r="C72" s="43"/>
      <c r="D72" s="43"/>
      <c r="E72" s="37"/>
      <c r="F72" s="35"/>
      <c r="G72" s="35"/>
      <c r="H72" s="3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s="32" customFormat="1" x14ac:dyDescent="0.35">
      <c r="A73" s="37"/>
      <c r="B73" s="43"/>
      <c r="C73" s="43"/>
      <c r="D73" s="43"/>
      <c r="E73" s="37"/>
      <c r="F73" s="35"/>
      <c r="G73" s="35"/>
      <c r="H73" s="35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s="32" customFormat="1" x14ac:dyDescent="0.35">
      <c r="A74" s="37"/>
      <c r="B74" s="43"/>
      <c r="C74" s="43"/>
      <c r="D74" s="43"/>
      <c r="E74" s="37"/>
      <c r="F74" s="35"/>
      <c r="G74" s="35"/>
      <c r="H74" s="35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s="32" customFormat="1" x14ac:dyDescent="0.35">
      <c r="A75" s="37"/>
      <c r="B75" s="43"/>
      <c r="C75" s="43"/>
      <c r="D75" s="43"/>
      <c r="E75" s="37"/>
      <c r="F75" s="35"/>
      <c r="G75" s="35"/>
      <c r="H75" s="35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s="32" customFormat="1" x14ac:dyDescent="0.35">
      <c r="A76" s="37"/>
      <c r="B76" s="43"/>
      <c r="C76" s="43"/>
      <c r="D76" s="43"/>
      <c r="E76" s="37"/>
      <c r="F76" s="35"/>
      <c r="G76" s="35"/>
      <c r="H76" s="35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s="32" customFormat="1" x14ac:dyDescent="0.35">
      <c r="A77" s="37"/>
      <c r="B77" s="43"/>
      <c r="C77" s="43"/>
      <c r="D77" s="43"/>
      <c r="E77" s="37"/>
      <c r="F77" s="35"/>
      <c r="G77" s="35"/>
      <c r="H77" s="35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s="32" customFormat="1" x14ac:dyDescent="0.35">
      <c r="A78" s="37"/>
      <c r="B78" s="43"/>
      <c r="C78" s="43"/>
      <c r="D78" s="43"/>
      <c r="E78" s="37"/>
      <c r="F78" s="35"/>
      <c r="G78" s="35"/>
      <c r="H78" s="3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s="32" customFormat="1" x14ac:dyDescent="0.35">
      <c r="A79" s="37"/>
      <c r="B79" s="43"/>
      <c r="C79" s="43"/>
      <c r="D79" s="43"/>
      <c r="E79" s="37"/>
      <c r="F79" s="35"/>
      <c r="G79" s="35"/>
      <c r="H79" s="35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s="32" customFormat="1" x14ac:dyDescent="0.35">
      <c r="A80" s="37"/>
      <c r="B80" s="43"/>
      <c r="C80" s="43"/>
      <c r="D80" s="43"/>
      <c r="E80" s="37"/>
      <c r="F80" s="35"/>
      <c r="G80" s="35"/>
      <c r="H80" s="35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 s="32" customFormat="1" x14ac:dyDescent="0.35">
      <c r="A81" s="37"/>
      <c r="B81" s="43"/>
      <c r="C81" s="43"/>
      <c r="D81" s="43"/>
      <c r="E81" s="37"/>
      <c r="F81" s="35"/>
      <c r="G81" s="35"/>
      <c r="H81" s="35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 s="32" customFormat="1" x14ac:dyDescent="0.35">
      <c r="A82" s="37"/>
      <c r="B82" s="43"/>
      <c r="C82" s="43"/>
      <c r="D82" s="43"/>
      <c r="E82" s="37"/>
      <c r="F82" s="35"/>
      <c r="G82" s="35"/>
      <c r="H82" s="35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 s="32" customFormat="1" x14ac:dyDescent="0.35">
      <c r="A83" s="37"/>
      <c r="B83" s="43"/>
      <c r="C83" s="43"/>
      <c r="D83" s="43"/>
      <c r="E83" s="37"/>
      <c r="F83" s="35"/>
      <c r="G83" s="35"/>
      <c r="H83" s="35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spans="1:28" s="32" customFormat="1" x14ac:dyDescent="0.35">
      <c r="A84" s="37"/>
      <c r="B84" s="43"/>
      <c r="C84" s="43"/>
      <c r="D84" s="43"/>
      <c r="E84" s="37"/>
      <c r="F84" s="35"/>
      <c r="G84" s="35"/>
      <c r="H84" s="35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spans="1:28" s="32" customFormat="1" x14ac:dyDescent="0.35">
      <c r="A85" s="37"/>
      <c r="B85" s="43"/>
      <c r="C85" s="43"/>
      <c r="D85" s="43"/>
      <c r="E85" s="37"/>
      <c r="F85" s="35"/>
      <c r="G85" s="35"/>
      <c r="H85" s="35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spans="1:28" s="32" customFormat="1" x14ac:dyDescent="0.35">
      <c r="A86" s="37"/>
      <c r="B86" s="43"/>
      <c r="C86" s="43"/>
      <c r="D86" s="43"/>
      <c r="E86" s="37"/>
      <c r="F86" s="35"/>
      <c r="G86" s="35"/>
      <c r="H86" s="35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spans="1:28" s="32" customFormat="1" x14ac:dyDescent="0.35">
      <c r="A87" s="37"/>
      <c r="B87" s="43"/>
      <c r="C87" s="43"/>
      <c r="D87" s="43"/>
      <c r="E87" s="37"/>
      <c r="F87" s="35"/>
      <c r="G87" s="35"/>
      <c r="H87" s="35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spans="1:28" s="32" customFormat="1" x14ac:dyDescent="0.35">
      <c r="A88" s="37"/>
      <c r="B88" s="43"/>
      <c r="C88" s="43"/>
      <c r="D88" s="43"/>
      <c r="E88" s="37"/>
      <c r="F88" s="35"/>
      <c r="G88" s="35"/>
      <c r="H88" s="35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spans="1:28" s="32" customFormat="1" x14ac:dyDescent="0.35">
      <c r="A89" s="37"/>
      <c r="B89" s="43"/>
      <c r="C89" s="43"/>
      <c r="D89" s="43"/>
      <c r="E89" s="37"/>
      <c r="F89" s="35"/>
      <c r="G89" s="35"/>
      <c r="H89" s="35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spans="1:28" s="32" customFormat="1" x14ac:dyDescent="0.35">
      <c r="A90" s="37"/>
      <c r="B90" s="43"/>
      <c r="C90" s="43"/>
      <c r="D90" s="43"/>
      <c r="E90" s="37"/>
      <c r="F90" s="35"/>
      <c r="G90" s="35"/>
      <c r="H90" s="35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spans="1:28" s="32" customFormat="1" x14ac:dyDescent="0.35">
      <c r="A91" s="37"/>
      <c r="B91" s="43"/>
      <c r="C91" s="43"/>
      <c r="D91" s="43"/>
      <c r="E91" s="37"/>
      <c r="F91" s="35"/>
      <c r="G91" s="35"/>
      <c r="H91" s="35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spans="1:28" s="32" customFormat="1" x14ac:dyDescent="0.35">
      <c r="A92" s="37"/>
      <c r="B92" s="43"/>
      <c r="C92" s="43"/>
      <c r="D92" s="43"/>
      <c r="E92" s="37"/>
      <c r="F92" s="35"/>
      <c r="G92" s="35"/>
      <c r="H92" s="35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spans="1:28" s="32" customFormat="1" x14ac:dyDescent="0.35">
      <c r="A93" s="37"/>
      <c r="B93" s="43"/>
      <c r="C93" s="43"/>
      <c r="D93" s="43"/>
      <c r="E93" s="37"/>
      <c r="F93" s="35"/>
      <c r="G93" s="35"/>
      <c r="H93" s="35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spans="1:28" s="32" customFormat="1" x14ac:dyDescent="0.35">
      <c r="A94" s="37"/>
      <c r="B94" s="43"/>
      <c r="C94" s="43"/>
      <c r="D94" s="43"/>
      <c r="E94" s="37"/>
      <c r="F94" s="35"/>
      <c r="G94" s="35"/>
      <c r="H94" s="35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spans="1:28" s="32" customFormat="1" x14ac:dyDescent="0.35">
      <c r="A95" s="37"/>
      <c r="B95" s="43"/>
      <c r="C95" s="43"/>
      <c r="D95" s="43"/>
      <c r="E95" s="37"/>
      <c r="F95" s="35"/>
      <c r="G95" s="35"/>
      <c r="H95" s="35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spans="1:28" s="32" customFormat="1" x14ac:dyDescent="0.35">
      <c r="A96" s="37"/>
      <c r="B96" s="43"/>
      <c r="C96" s="43"/>
      <c r="D96" s="43"/>
      <c r="E96" s="37"/>
      <c r="F96" s="35"/>
      <c r="G96" s="35"/>
      <c r="H96" s="35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spans="1:28" s="32" customFormat="1" x14ac:dyDescent="0.35">
      <c r="A97" s="37"/>
      <c r="B97" s="43"/>
      <c r="C97" s="43"/>
      <c r="D97" s="43"/>
      <c r="E97" s="37"/>
      <c r="F97" s="35"/>
      <c r="G97" s="35"/>
      <c r="H97" s="35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spans="1:28" s="32" customFormat="1" x14ac:dyDescent="0.35">
      <c r="A98" s="37"/>
      <c r="B98" s="43"/>
      <c r="C98" s="43"/>
      <c r="D98" s="43"/>
      <c r="E98" s="37"/>
      <c r="F98" s="35"/>
      <c r="G98" s="35"/>
      <c r="H98" s="35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spans="1:28" s="32" customFormat="1" x14ac:dyDescent="0.35">
      <c r="A99" s="37"/>
      <c r="B99" s="43"/>
      <c r="C99" s="43"/>
      <c r="D99" s="43"/>
      <c r="E99" s="37"/>
      <c r="F99" s="35"/>
      <c r="G99" s="35"/>
      <c r="H99" s="35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spans="1:28" s="32" customFormat="1" x14ac:dyDescent="0.35">
      <c r="A100" s="37"/>
      <c r="B100" s="43"/>
      <c r="C100" s="43"/>
      <c r="D100" s="43"/>
      <c r="E100" s="37"/>
      <c r="F100" s="35"/>
      <c r="G100" s="35"/>
      <c r="H100" s="35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spans="1:28" s="32" customFormat="1" x14ac:dyDescent="0.35">
      <c r="A101" s="37"/>
      <c r="B101" s="43"/>
      <c r="C101" s="43"/>
      <c r="D101" s="43"/>
      <c r="E101" s="37"/>
      <c r="F101" s="35"/>
      <c r="G101" s="35"/>
      <c r="H101" s="35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spans="1:28" s="32" customFormat="1" x14ac:dyDescent="0.35">
      <c r="A102" s="37"/>
      <c r="B102" s="43"/>
      <c r="C102" s="43"/>
      <c r="D102" s="43"/>
      <c r="E102" s="37"/>
      <c r="F102" s="35"/>
      <c r="G102" s="35"/>
      <c r="H102" s="35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spans="1:28" s="32" customFormat="1" x14ac:dyDescent="0.35">
      <c r="A103" s="37"/>
      <c r="B103" s="43"/>
      <c r="C103" s="43"/>
      <c r="D103" s="43"/>
      <c r="E103" s="37"/>
      <c r="F103" s="35"/>
      <c r="G103" s="35"/>
      <c r="H103" s="35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spans="1:28" s="32" customFormat="1" x14ac:dyDescent="0.35">
      <c r="A104" s="37"/>
      <c r="B104" s="43"/>
      <c r="C104" s="43"/>
      <c r="D104" s="43"/>
      <c r="E104" s="37"/>
      <c r="F104" s="35"/>
      <c r="G104" s="35"/>
      <c r="H104" s="35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spans="1:28" s="32" customFormat="1" x14ac:dyDescent="0.35">
      <c r="A105" s="37"/>
      <c r="B105" s="43"/>
      <c r="C105" s="43"/>
      <c r="D105" s="43"/>
      <c r="E105" s="37"/>
      <c r="F105" s="35"/>
      <c r="G105" s="35"/>
      <c r="H105" s="35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28" s="32" customFormat="1" x14ac:dyDescent="0.35">
      <c r="A106" s="37"/>
      <c r="B106" s="43"/>
      <c r="C106" s="43"/>
      <c r="D106" s="43"/>
      <c r="E106" s="37"/>
      <c r="F106" s="35"/>
      <c r="G106" s="35"/>
      <c r="H106" s="35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spans="1:28" s="32" customFormat="1" x14ac:dyDescent="0.35">
      <c r="A107" s="37"/>
      <c r="B107" s="43"/>
      <c r="C107" s="43"/>
      <c r="D107" s="43"/>
      <c r="E107" s="37"/>
      <c r="F107" s="35"/>
      <c r="G107" s="35"/>
      <c r="H107" s="35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spans="1:28" s="32" customFormat="1" x14ac:dyDescent="0.35">
      <c r="A108" s="37"/>
      <c r="B108" s="43"/>
      <c r="C108" s="43"/>
      <c r="D108" s="43"/>
      <c r="E108" s="37"/>
      <c r="F108" s="35"/>
      <c r="G108" s="35"/>
      <c r="H108" s="35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8" s="32" customFormat="1" x14ac:dyDescent="0.35">
      <c r="A109" s="37"/>
      <c r="B109" s="43"/>
      <c r="C109" s="43"/>
      <c r="D109" s="43"/>
      <c r="E109" s="37"/>
      <c r="F109" s="35"/>
      <c r="G109" s="35"/>
      <c r="H109" s="35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spans="1:28" s="32" customFormat="1" x14ac:dyDescent="0.35">
      <c r="A110" s="37"/>
      <c r="B110" s="43"/>
      <c r="C110" s="43"/>
      <c r="D110" s="43"/>
      <c r="E110" s="37"/>
      <c r="F110" s="35"/>
      <c r="G110" s="35"/>
      <c r="H110" s="35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spans="1:28" s="32" customFormat="1" x14ac:dyDescent="0.35">
      <c r="A111" s="37"/>
      <c r="B111" s="43"/>
      <c r="C111" s="43"/>
      <c r="D111" s="43"/>
      <c r="E111" s="37"/>
      <c r="F111" s="35"/>
      <c r="G111" s="35"/>
      <c r="H111" s="35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spans="1:28" s="32" customFormat="1" x14ac:dyDescent="0.35">
      <c r="A112" s="37"/>
      <c r="B112" s="43"/>
      <c r="C112" s="43"/>
      <c r="D112" s="43"/>
      <c r="E112" s="37"/>
      <c r="F112" s="35"/>
      <c r="G112" s="35"/>
      <c r="H112" s="35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spans="1:28" s="32" customFormat="1" x14ac:dyDescent="0.35">
      <c r="A113" s="37"/>
      <c r="B113" s="43"/>
      <c r="C113" s="43"/>
      <c r="D113" s="43"/>
      <c r="E113" s="37"/>
      <c r="F113" s="35"/>
      <c r="G113" s="35"/>
      <c r="H113" s="35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spans="1:28" s="32" customFormat="1" x14ac:dyDescent="0.35">
      <c r="A114" s="37"/>
      <c r="B114" s="43"/>
      <c r="C114" s="43"/>
      <c r="D114" s="43"/>
      <c r="E114" s="37"/>
      <c r="F114" s="35"/>
      <c r="G114" s="35"/>
      <c r="H114" s="35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spans="1:28" s="32" customFormat="1" x14ac:dyDescent="0.35">
      <c r="A115" s="37"/>
      <c r="B115" s="43"/>
      <c r="C115" s="43"/>
      <c r="D115" s="43"/>
      <c r="E115" s="37"/>
      <c r="F115" s="35"/>
      <c r="G115" s="35"/>
      <c r="H115" s="35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 s="32" customFormat="1" x14ac:dyDescent="0.35">
      <c r="A116" s="37"/>
      <c r="B116" s="43"/>
      <c r="C116" s="43"/>
      <c r="D116" s="43"/>
      <c r="E116" s="37"/>
      <c r="F116" s="35"/>
      <c r="G116" s="35"/>
      <c r="H116" s="35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spans="1:28" s="32" customFormat="1" x14ac:dyDescent="0.35">
      <c r="A117" s="37"/>
      <c r="B117" s="43"/>
      <c r="C117" s="43"/>
      <c r="D117" s="43"/>
      <c r="E117" s="37"/>
      <c r="F117" s="35"/>
      <c r="G117" s="35"/>
      <c r="H117" s="35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spans="1:28" s="32" customFormat="1" x14ac:dyDescent="0.35">
      <c r="A118" s="37"/>
      <c r="B118" s="43"/>
      <c r="C118" s="43"/>
      <c r="D118" s="43"/>
      <c r="E118" s="37"/>
      <c r="F118" s="35"/>
      <c r="G118" s="35"/>
      <c r="H118" s="35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spans="1:28" s="32" customFormat="1" x14ac:dyDescent="0.35">
      <c r="A119" s="37"/>
      <c r="B119" s="43"/>
      <c r="C119" s="43"/>
      <c r="D119" s="43"/>
      <c r="E119" s="37"/>
      <c r="F119" s="35"/>
      <c r="G119" s="35"/>
      <c r="H119" s="35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spans="1:28" s="32" customFormat="1" x14ac:dyDescent="0.35">
      <c r="A120" s="37"/>
      <c r="B120" s="43"/>
      <c r="C120" s="43"/>
      <c r="D120" s="43"/>
      <c r="E120" s="37"/>
      <c r="F120" s="35"/>
      <c r="G120" s="35"/>
      <c r="H120" s="35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spans="1:28" s="32" customFormat="1" x14ac:dyDescent="0.35">
      <c r="A121" s="37"/>
      <c r="B121" s="43"/>
      <c r="C121" s="43"/>
      <c r="D121" s="43"/>
      <c r="E121" s="37"/>
      <c r="F121" s="35"/>
      <c r="G121" s="35"/>
      <c r="H121" s="35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spans="1:28" s="32" customFormat="1" x14ac:dyDescent="0.35">
      <c r="A122" s="37"/>
      <c r="B122" s="43"/>
      <c r="C122" s="43"/>
      <c r="D122" s="43"/>
      <c r="E122" s="37"/>
      <c r="F122" s="35"/>
      <c r="G122" s="35"/>
      <c r="H122" s="35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 s="32" customFormat="1" x14ac:dyDescent="0.35">
      <c r="A123" s="37"/>
      <c r="B123" s="43"/>
      <c r="C123" s="43"/>
      <c r="D123" s="43"/>
      <c r="E123" s="37"/>
      <c r="F123" s="35"/>
      <c r="G123" s="35"/>
      <c r="H123" s="35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spans="1:28" s="32" customFormat="1" x14ac:dyDescent="0.35">
      <c r="A124" s="37"/>
      <c r="B124" s="43"/>
      <c r="C124" s="43"/>
      <c r="D124" s="43"/>
      <c r="E124" s="37"/>
      <c r="F124" s="35"/>
      <c r="G124" s="35"/>
      <c r="H124" s="35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spans="1:28" s="32" customFormat="1" x14ac:dyDescent="0.35">
      <c r="A125" s="37"/>
      <c r="B125" s="43"/>
      <c r="C125" s="43"/>
      <c r="D125" s="43"/>
      <c r="E125" s="37"/>
      <c r="F125" s="35"/>
      <c r="G125" s="35"/>
      <c r="H125" s="35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spans="1:28" s="32" customFormat="1" x14ac:dyDescent="0.35">
      <c r="A126" s="37"/>
      <c r="B126" s="43"/>
      <c r="C126" s="43"/>
      <c r="D126" s="43"/>
      <c r="E126" s="37"/>
      <c r="F126" s="35"/>
      <c r="G126" s="35"/>
      <c r="H126" s="35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spans="1:28" s="32" customFormat="1" x14ac:dyDescent="0.35">
      <c r="A127" s="37"/>
      <c r="B127" s="43"/>
      <c r="C127" s="43"/>
      <c r="D127" s="43"/>
      <c r="E127" s="37"/>
      <c r="F127" s="35"/>
      <c r="G127" s="35"/>
      <c r="H127" s="35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spans="1:28" s="32" customFormat="1" x14ac:dyDescent="0.35">
      <c r="A128" s="37"/>
      <c r="B128" s="43"/>
      <c r="C128" s="43"/>
      <c r="D128" s="43"/>
      <c r="E128" s="37"/>
      <c r="F128" s="35"/>
      <c r="G128" s="35"/>
      <c r="H128" s="35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spans="1:28" s="32" customFormat="1" x14ac:dyDescent="0.35">
      <c r="A129" s="37"/>
      <c r="B129" s="43"/>
      <c r="C129" s="43"/>
      <c r="D129" s="43"/>
      <c r="E129" s="37"/>
      <c r="F129" s="35"/>
      <c r="G129" s="35"/>
      <c r="H129" s="35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spans="1:28" s="32" customFormat="1" x14ac:dyDescent="0.35">
      <c r="A130" s="37"/>
      <c r="B130" s="43"/>
      <c r="C130" s="43"/>
      <c r="D130" s="43"/>
      <c r="E130" s="37"/>
      <c r="F130" s="35"/>
      <c r="G130" s="35"/>
      <c r="H130" s="35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 s="32" customFormat="1" x14ac:dyDescent="0.35">
      <c r="A131" s="37"/>
      <c r="B131" s="43"/>
      <c r="C131" s="43"/>
      <c r="D131" s="43"/>
      <c r="E131" s="37"/>
      <c r="F131" s="35"/>
      <c r="G131" s="35"/>
      <c r="H131" s="35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spans="1:28" s="32" customFormat="1" x14ac:dyDescent="0.35">
      <c r="A132" s="37"/>
      <c r="B132" s="43"/>
      <c r="C132" s="43"/>
      <c r="D132" s="43"/>
      <c r="E132" s="37"/>
      <c r="F132" s="35"/>
      <c r="G132" s="35"/>
      <c r="H132" s="35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spans="1:28" s="32" customFormat="1" x14ac:dyDescent="0.35">
      <c r="A133" s="37"/>
      <c r="B133" s="43"/>
      <c r="C133" s="43"/>
      <c r="D133" s="43"/>
      <c r="E133" s="37"/>
      <c r="F133" s="35"/>
      <c r="G133" s="35"/>
      <c r="H133" s="35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spans="1:28" s="32" customFormat="1" x14ac:dyDescent="0.35">
      <c r="A134" s="37"/>
      <c r="B134" s="43"/>
      <c r="C134" s="43"/>
      <c r="D134" s="43"/>
      <c r="E134" s="37"/>
      <c r="F134" s="35"/>
      <c r="G134" s="35"/>
      <c r="H134" s="35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spans="1:28" s="32" customFormat="1" x14ac:dyDescent="0.35">
      <c r="A135" s="37"/>
      <c r="B135" s="43"/>
      <c r="C135" s="43"/>
      <c r="D135" s="43"/>
      <c r="E135" s="37"/>
      <c r="F135" s="35"/>
      <c r="G135" s="35"/>
      <c r="H135" s="35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spans="1:28" s="32" customFormat="1" x14ac:dyDescent="0.35">
      <c r="A136" s="37"/>
      <c r="B136" s="43"/>
      <c r="C136" s="43"/>
      <c r="D136" s="43"/>
      <c r="E136" s="37"/>
      <c r="F136" s="35"/>
      <c r="G136" s="35"/>
      <c r="H136" s="35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spans="1:28" s="32" customFormat="1" x14ac:dyDescent="0.35">
      <c r="A137" s="37"/>
      <c r="B137" s="43"/>
      <c r="C137" s="43"/>
      <c r="D137" s="43"/>
      <c r="E137" s="37"/>
      <c r="F137" s="35"/>
      <c r="G137" s="35"/>
      <c r="H137" s="35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spans="1:28" s="32" customFormat="1" x14ac:dyDescent="0.35">
      <c r="A138" s="37"/>
      <c r="B138" s="43"/>
      <c r="C138" s="43"/>
      <c r="D138" s="43"/>
      <c r="E138" s="37"/>
      <c r="F138" s="35"/>
      <c r="G138" s="35"/>
      <c r="H138" s="35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spans="1:28" s="32" customFormat="1" x14ac:dyDescent="0.35">
      <c r="A139" s="37"/>
      <c r="B139" s="43"/>
      <c r="C139" s="43"/>
      <c r="D139" s="43"/>
      <c r="E139" s="37"/>
      <c r="F139" s="35"/>
      <c r="G139" s="35"/>
      <c r="H139" s="35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spans="1:28" s="32" customFormat="1" x14ac:dyDescent="0.35">
      <c r="A140" s="37"/>
      <c r="B140" s="43"/>
      <c r="C140" s="43"/>
      <c r="D140" s="43"/>
      <c r="E140" s="37"/>
      <c r="F140" s="35"/>
      <c r="G140" s="35"/>
      <c r="H140" s="35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spans="1:28" s="32" customFormat="1" x14ac:dyDescent="0.35">
      <c r="A141" s="37"/>
      <c r="B141" s="43"/>
      <c r="C141" s="43"/>
      <c r="D141" s="43"/>
      <c r="E141" s="37"/>
      <c r="F141" s="35"/>
      <c r="G141" s="35"/>
      <c r="H141" s="35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spans="1:28" s="32" customFormat="1" x14ac:dyDescent="0.35">
      <c r="A142" s="37"/>
      <c r="B142" s="43"/>
      <c r="C142" s="43"/>
      <c r="D142" s="43"/>
      <c r="E142" s="37"/>
      <c r="F142" s="35"/>
      <c r="G142" s="35"/>
      <c r="H142" s="35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 spans="1:28" s="32" customFormat="1" x14ac:dyDescent="0.35">
      <c r="A143" s="37"/>
      <c r="B143" s="43"/>
      <c r="C143" s="43"/>
      <c r="D143" s="43"/>
      <c r="E143" s="37"/>
      <c r="F143" s="35"/>
      <c r="G143" s="35"/>
      <c r="H143" s="35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spans="1:28" s="32" customFormat="1" x14ac:dyDescent="0.35">
      <c r="A144" s="37"/>
      <c r="B144" s="43"/>
      <c r="C144" s="43"/>
      <c r="D144" s="43"/>
      <c r="E144" s="37"/>
      <c r="F144" s="35"/>
      <c r="G144" s="35"/>
      <c r="H144" s="35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spans="1:28" s="32" customFormat="1" x14ac:dyDescent="0.35">
      <c r="A145" s="37"/>
      <c r="B145" s="43"/>
      <c r="C145" s="43"/>
      <c r="D145" s="43"/>
      <c r="E145" s="37"/>
      <c r="F145" s="35"/>
      <c r="G145" s="35"/>
      <c r="H145" s="35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spans="1:28" s="32" customFormat="1" x14ac:dyDescent="0.35">
      <c r="A146" s="37"/>
      <c r="B146" s="43"/>
      <c r="C146" s="43"/>
      <c r="D146" s="43"/>
      <c r="E146" s="37"/>
      <c r="F146" s="35"/>
      <c r="G146" s="35"/>
      <c r="H146" s="35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spans="1:28" s="32" customFormat="1" x14ac:dyDescent="0.35">
      <c r="A147" s="37"/>
      <c r="B147" s="43"/>
      <c r="C147" s="43"/>
      <c r="D147" s="43"/>
      <c r="E147" s="37"/>
      <c r="F147" s="35"/>
      <c r="G147" s="35"/>
      <c r="H147" s="35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spans="1:28" s="32" customFormat="1" x14ac:dyDescent="0.35">
      <c r="A148" s="37"/>
      <c r="B148" s="43"/>
      <c r="C148" s="43"/>
      <c r="D148" s="43"/>
      <c r="E148" s="37"/>
      <c r="F148" s="35"/>
      <c r="G148" s="35"/>
      <c r="H148" s="35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spans="1:28" s="32" customFormat="1" x14ac:dyDescent="0.35">
      <c r="A149" s="37"/>
      <c r="B149" s="43"/>
      <c r="C149" s="43"/>
      <c r="D149" s="43"/>
      <c r="E149" s="37"/>
      <c r="F149" s="35"/>
      <c r="G149" s="35"/>
      <c r="H149" s="35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1:28" s="32" customFormat="1" x14ac:dyDescent="0.35">
      <c r="A150" s="37"/>
      <c r="B150" s="43"/>
      <c r="C150" s="43"/>
      <c r="D150" s="43"/>
      <c r="E150" s="37"/>
      <c r="F150" s="35"/>
      <c r="G150" s="35"/>
      <c r="H150" s="35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spans="1:28" s="32" customFormat="1" x14ac:dyDescent="0.35">
      <c r="A151" s="37"/>
      <c r="B151" s="43"/>
      <c r="C151" s="43"/>
      <c r="D151" s="43"/>
      <c r="E151" s="37"/>
      <c r="F151" s="35"/>
      <c r="G151" s="35"/>
      <c r="H151" s="35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spans="1:28" s="32" customFormat="1" x14ac:dyDescent="0.35">
      <c r="A152" s="37"/>
      <c r="B152" s="43"/>
      <c r="C152" s="43"/>
      <c r="D152" s="43"/>
      <c r="E152" s="37"/>
      <c r="F152" s="35"/>
      <c r="G152" s="35"/>
      <c r="H152" s="35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spans="1:28" s="32" customFormat="1" x14ac:dyDescent="0.35">
      <c r="A153" s="37"/>
      <c r="B153" s="43"/>
      <c r="C153" s="43"/>
      <c r="D153" s="43"/>
      <c r="E153" s="37"/>
      <c r="F153" s="35"/>
      <c r="G153" s="35"/>
      <c r="H153" s="35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spans="1:28" s="32" customFormat="1" x14ac:dyDescent="0.35">
      <c r="A154" s="37"/>
      <c r="B154" s="43"/>
      <c r="C154" s="43"/>
      <c r="D154" s="43"/>
      <c r="E154" s="37"/>
      <c r="F154" s="35"/>
      <c r="G154" s="35"/>
      <c r="H154" s="35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spans="1:28" s="32" customFormat="1" x14ac:dyDescent="0.35">
      <c r="A155" s="37"/>
      <c r="B155" s="43"/>
      <c r="C155" s="43"/>
      <c r="D155" s="43"/>
      <c r="E155" s="37"/>
      <c r="F155" s="35"/>
      <c r="G155" s="35"/>
      <c r="H155" s="35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spans="1:28" s="32" customFormat="1" x14ac:dyDescent="0.35">
      <c r="A156" s="37"/>
      <c r="B156" s="43"/>
      <c r="C156" s="43"/>
      <c r="D156" s="43"/>
      <c r="E156" s="37"/>
      <c r="F156" s="35"/>
      <c r="G156" s="35"/>
      <c r="H156" s="35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spans="1:28" s="32" customFormat="1" x14ac:dyDescent="0.35">
      <c r="A157" s="37"/>
      <c r="B157" s="43"/>
      <c r="C157" s="43"/>
      <c r="D157" s="43"/>
      <c r="E157" s="37"/>
      <c r="F157" s="35"/>
      <c r="G157" s="35"/>
      <c r="H157" s="35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spans="1:28" s="32" customFormat="1" x14ac:dyDescent="0.35">
      <c r="A158" s="37"/>
      <c r="B158" s="43"/>
      <c r="C158" s="43"/>
      <c r="D158" s="43"/>
      <c r="E158" s="37"/>
      <c r="F158" s="35"/>
      <c r="G158" s="35"/>
      <c r="H158" s="35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spans="1:28" s="32" customFormat="1" x14ac:dyDescent="0.35">
      <c r="A159" s="37"/>
      <c r="B159" s="43"/>
      <c r="C159" s="43"/>
      <c r="D159" s="43"/>
      <c r="E159" s="37"/>
      <c r="F159" s="35"/>
      <c r="G159" s="35"/>
      <c r="H159" s="35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spans="1:28" s="32" customFormat="1" x14ac:dyDescent="0.35">
      <c r="A160" s="37"/>
      <c r="B160" s="43"/>
      <c r="C160" s="43"/>
      <c r="D160" s="43"/>
      <c r="E160" s="37"/>
      <c r="F160" s="35"/>
      <c r="G160" s="35"/>
      <c r="H160" s="35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spans="1:28" s="32" customFormat="1" x14ac:dyDescent="0.35">
      <c r="A161" s="37"/>
      <c r="B161" s="43"/>
      <c r="C161" s="43"/>
      <c r="D161" s="43"/>
      <c r="E161" s="37"/>
      <c r="F161" s="35"/>
      <c r="G161" s="35"/>
      <c r="H161" s="35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spans="1:28" s="32" customFormat="1" x14ac:dyDescent="0.35">
      <c r="A162" s="37"/>
      <c r="B162" s="43"/>
      <c r="C162" s="43"/>
      <c r="D162" s="43"/>
      <c r="E162" s="37"/>
      <c r="F162" s="35"/>
      <c r="G162" s="35"/>
      <c r="H162" s="35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spans="1:28" s="32" customFormat="1" x14ac:dyDescent="0.35">
      <c r="A163" s="37"/>
      <c r="B163" s="43"/>
      <c r="C163" s="43"/>
      <c r="D163" s="43"/>
      <c r="E163" s="37"/>
      <c r="F163" s="35"/>
      <c r="G163" s="35"/>
      <c r="H163" s="35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spans="1:28" s="32" customFormat="1" x14ac:dyDescent="0.35">
      <c r="A164" s="37"/>
      <c r="B164" s="43"/>
      <c r="C164" s="43"/>
      <c r="D164" s="43"/>
      <c r="E164" s="37"/>
      <c r="F164" s="35"/>
      <c r="G164" s="35"/>
      <c r="H164" s="35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spans="1:28" s="32" customFormat="1" x14ac:dyDescent="0.35">
      <c r="A165" s="37"/>
      <c r="B165" s="43"/>
      <c r="C165" s="43"/>
      <c r="D165" s="43"/>
      <c r="E165" s="37"/>
      <c r="F165" s="35"/>
      <c r="G165" s="35"/>
      <c r="H165" s="35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spans="1:28" s="32" customFormat="1" x14ac:dyDescent="0.35">
      <c r="A166" s="37"/>
      <c r="B166" s="43"/>
      <c r="C166" s="43"/>
      <c r="D166" s="43"/>
      <c r="E166" s="37"/>
      <c r="F166" s="35"/>
      <c r="G166" s="35"/>
      <c r="H166" s="35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spans="1:28" s="32" customFormat="1" x14ac:dyDescent="0.35">
      <c r="A167" s="37"/>
      <c r="B167" s="43"/>
      <c r="C167" s="43"/>
      <c r="D167" s="43"/>
      <c r="E167" s="37"/>
      <c r="F167" s="35"/>
      <c r="G167" s="35"/>
      <c r="H167" s="35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spans="1:28" s="32" customFormat="1" x14ac:dyDescent="0.35">
      <c r="A168" s="37"/>
      <c r="B168" s="43"/>
      <c r="C168" s="43"/>
      <c r="D168" s="43"/>
      <c r="E168" s="37"/>
      <c r="F168" s="35"/>
      <c r="G168" s="35"/>
      <c r="H168" s="35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spans="1:28" s="32" customFormat="1" x14ac:dyDescent="0.35">
      <c r="A169" s="37"/>
      <c r="B169" s="43"/>
      <c r="C169" s="43"/>
      <c r="D169" s="43"/>
      <c r="E169" s="37"/>
      <c r="F169" s="35"/>
      <c r="G169" s="35"/>
      <c r="H169" s="35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spans="1:28" s="32" customFormat="1" x14ac:dyDescent="0.35">
      <c r="A170" s="37"/>
      <c r="B170" s="43"/>
      <c r="C170" s="43"/>
      <c r="D170" s="43"/>
      <c r="E170" s="37"/>
      <c r="F170" s="35"/>
      <c r="G170" s="35"/>
      <c r="H170" s="35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spans="1:28" s="32" customFormat="1" x14ac:dyDescent="0.35">
      <c r="A171" s="37"/>
      <c r="B171" s="43"/>
      <c r="C171" s="43"/>
      <c r="D171" s="43"/>
      <c r="E171" s="37"/>
      <c r="F171" s="35"/>
      <c r="G171" s="35"/>
      <c r="H171" s="35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spans="1:28" s="32" customFormat="1" x14ac:dyDescent="0.35">
      <c r="A172" s="37"/>
      <c r="B172" s="43"/>
      <c r="C172" s="43"/>
      <c r="D172" s="43"/>
      <c r="E172" s="37"/>
      <c r="F172" s="35"/>
      <c r="G172" s="35"/>
      <c r="H172" s="35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spans="1:28" s="32" customFormat="1" x14ac:dyDescent="0.35">
      <c r="A173" s="37"/>
      <c r="B173" s="43"/>
      <c r="C173" s="43"/>
      <c r="D173" s="43"/>
      <c r="E173" s="37"/>
      <c r="F173" s="35"/>
      <c r="G173" s="35"/>
      <c r="H173" s="35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spans="1:28" s="32" customFormat="1" x14ac:dyDescent="0.35">
      <c r="A174" s="37"/>
      <c r="B174" s="43"/>
      <c r="C174" s="43"/>
      <c r="D174" s="43"/>
      <c r="E174" s="37"/>
      <c r="F174" s="35"/>
      <c r="G174" s="35"/>
      <c r="H174" s="35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spans="1:28" s="32" customFormat="1" x14ac:dyDescent="0.35">
      <c r="A175" s="37"/>
      <c r="B175" s="43"/>
      <c r="C175" s="43"/>
      <c r="D175" s="43"/>
      <c r="E175" s="37"/>
      <c r="F175" s="35"/>
      <c r="G175" s="35"/>
      <c r="H175" s="35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spans="1:28" s="32" customFormat="1" x14ac:dyDescent="0.35">
      <c r="A176" s="37"/>
      <c r="B176" s="43"/>
      <c r="C176" s="43"/>
      <c r="D176" s="43"/>
      <c r="E176" s="37"/>
      <c r="F176" s="35"/>
      <c r="G176" s="35"/>
      <c r="H176" s="35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spans="1:28" s="32" customFormat="1" x14ac:dyDescent="0.35">
      <c r="A177" s="37"/>
      <c r="B177" s="43"/>
      <c r="C177" s="43"/>
      <c r="D177" s="43"/>
      <c r="E177" s="37"/>
      <c r="F177" s="35"/>
      <c r="G177" s="35"/>
      <c r="H177" s="35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spans="1:28" s="32" customFormat="1" x14ac:dyDescent="0.35">
      <c r="A178" s="37"/>
      <c r="B178" s="43"/>
      <c r="C178" s="43"/>
      <c r="D178" s="43"/>
      <c r="E178" s="37"/>
      <c r="F178" s="35"/>
      <c r="G178" s="35"/>
      <c r="H178" s="35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spans="1:28" s="32" customFormat="1" x14ac:dyDescent="0.35">
      <c r="A179" s="37"/>
      <c r="B179" s="43"/>
      <c r="C179" s="43"/>
      <c r="D179" s="43"/>
      <c r="E179" s="37"/>
      <c r="F179" s="35"/>
      <c r="G179" s="35"/>
      <c r="H179" s="35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spans="1:28" s="32" customFormat="1" x14ac:dyDescent="0.35">
      <c r="A180" s="37"/>
      <c r="B180" s="43"/>
      <c r="C180" s="43"/>
      <c r="D180" s="43"/>
      <c r="E180" s="37"/>
      <c r="F180" s="35"/>
      <c r="G180" s="35"/>
      <c r="H180" s="35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spans="1:28" s="32" customFormat="1" x14ac:dyDescent="0.35">
      <c r="A181" s="37"/>
      <c r="B181" s="43"/>
      <c r="C181" s="43"/>
      <c r="D181" s="43"/>
      <c r="E181" s="37"/>
      <c r="F181" s="35"/>
      <c r="G181" s="35"/>
      <c r="H181" s="35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spans="1:28" s="32" customFormat="1" x14ac:dyDescent="0.35">
      <c r="A182" s="37"/>
      <c r="B182" s="43"/>
      <c r="C182" s="43"/>
      <c r="D182" s="43"/>
      <c r="E182" s="37"/>
      <c r="F182" s="35"/>
      <c r="G182" s="35"/>
      <c r="H182" s="35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spans="1:28" s="32" customFormat="1" x14ac:dyDescent="0.35">
      <c r="A183" s="37"/>
      <c r="B183" s="43"/>
      <c r="C183" s="43"/>
      <c r="D183" s="43"/>
      <c r="E183" s="37"/>
      <c r="F183" s="35"/>
      <c r="G183" s="35"/>
      <c r="H183" s="35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spans="1:28" s="32" customFormat="1" x14ac:dyDescent="0.35">
      <c r="A184" s="37"/>
      <c r="B184" s="43"/>
      <c r="C184" s="43"/>
      <c r="D184" s="43"/>
      <c r="E184" s="37"/>
      <c r="F184" s="35"/>
      <c r="G184" s="35"/>
      <c r="H184" s="35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spans="1:28" s="32" customFormat="1" x14ac:dyDescent="0.35">
      <c r="A185" s="37"/>
      <c r="B185" s="43"/>
      <c r="C185" s="43"/>
      <c r="D185" s="43"/>
      <c r="E185" s="37"/>
      <c r="F185" s="35"/>
      <c r="G185" s="35"/>
      <c r="H185" s="35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spans="1:28" s="32" customFormat="1" x14ac:dyDescent="0.35">
      <c r="A186" s="37"/>
      <c r="B186" s="43"/>
      <c r="C186" s="43"/>
      <c r="D186" s="43"/>
      <c r="E186" s="37"/>
      <c r="F186" s="35"/>
      <c r="G186" s="35"/>
      <c r="H186" s="35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spans="1:28" s="32" customFormat="1" x14ac:dyDescent="0.35">
      <c r="A187" s="37"/>
      <c r="B187" s="43"/>
      <c r="C187" s="43"/>
      <c r="D187" s="43"/>
      <c r="E187" s="37"/>
      <c r="F187" s="35"/>
      <c r="G187" s="35"/>
      <c r="H187" s="35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spans="1:28" s="32" customFormat="1" x14ac:dyDescent="0.35">
      <c r="A188" s="37"/>
      <c r="B188" s="43"/>
      <c r="C188" s="43"/>
      <c r="D188" s="43"/>
      <c r="E188" s="37"/>
      <c r="F188" s="35"/>
      <c r="G188" s="35"/>
      <c r="H188" s="35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spans="1:28" s="32" customFormat="1" x14ac:dyDescent="0.35">
      <c r="A189" s="37"/>
      <c r="B189" s="43"/>
      <c r="C189" s="43"/>
      <c r="D189" s="43"/>
      <c r="E189" s="37"/>
      <c r="F189" s="35"/>
      <c r="G189" s="35"/>
      <c r="H189" s="35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spans="1:28" s="32" customFormat="1" x14ac:dyDescent="0.35">
      <c r="A190" s="37"/>
      <c r="B190" s="43"/>
      <c r="C190" s="43"/>
      <c r="D190" s="43"/>
      <c r="E190" s="37"/>
      <c r="F190" s="35"/>
      <c r="G190" s="35"/>
      <c r="H190" s="35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spans="1:28" s="32" customFormat="1" x14ac:dyDescent="0.35">
      <c r="A191" s="37"/>
      <c r="B191" s="43"/>
      <c r="C191" s="43"/>
      <c r="D191" s="43"/>
      <c r="E191" s="37"/>
      <c r="F191" s="35"/>
      <c r="G191" s="35"/>
      <c r="H191" s="35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spans="1:28" s="32" customFormat="1" x14ac:dyDescent="0.35">
      <c r="A192" s="37"/>
      <c r="B192" s="43"/>
      <c r="C192" s="43"/>
      <c r="D192" s="43"/>
      <c r="E192" s="37"/>
      <c r="F192" s="35"/>
      <c r="G192" s="35"/>
      <c r="H192" s="35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spans="1:28" s="32" customFormat="1" x14ac:dyDescent="0.35">
      <c r="A193" s="37"/>
      <c r="B193" s="43"/>
      <c r="C193" s="43"/>
      <c r="D193" s="43"/>
      <c r="E193" s="37"/>
      <c r="F193" s="35"/>
      <c r="G193" s="35"/>
      <c r="H193" s="35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spans="1:28" s="32" customFormat="1" x14ac:dyDescent="0.35">
      <c r="A194" s="37"/>
      <c r="B194" s="43"/>
      <c r="C194" s="43"/>
      <c r="D194" s="43"/>
      <c r="E194" s="37"/>
      <c r="F194" s="35"/>
      <c r="G194" s="35"/>
      <c r="H194" s="35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spans="1:28" s="32" customFormat="1" x14ac:dyDescent="0.35">
      <c r="A195" s="37"/>
      <c r="B195" s="43"/>
      <c r="C195" s="43"/>
      <c r="D195" s="43"/>
      <c r="E195" s="37"/>
      <c r="F195" s="35"/>
      <c r="G195" s="35"/>
      <c r="H195" s="35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spans="1:28" s="32" customFormat="1" x14ac:dyDescent="0.35">
      <c r="A196" s="37"/>
      <c r="B196" s="43"/>
      <c r="C196" s="43"/>
      <c r="D196" s="43"/>
      <c r="E196" s="37"/>
      <c r="F196" s="35"/>
      <c r="G196" s="35"/>
      <c r="H196" s="35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spans="1:28" s="32" customFormat="1" x14ac:dyDescent="0.35">
      <c r="A197" s="37"/>
      <c r="B197" s="43"/>
      <c r="C197" s="43"/>
      <c r="D197" s="43"/>
      <c r="E197" s="37"/>
      <c r="F197" s="35"/>
      <c r="G197" s="35"/>
      <c r="H197" s="35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spans="1:28" s="32" customFormat="1" x14ac:dyDescent="0.35">
      <c r="A198" s="37"/>
      <c r="B198" s="43"/>
      <c r="C198" s="43"/>
      <c r="D198" s="43"/>
      <c r="E198" s="37"/>
      <c r="F198" s="35"/>
      <c r="G198" s="35"/>
      <c r="H198" s="35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spans="1:28" s="32" customFormat="1" x14ac:dyDescent="0.35">
      <c r="A199" s="37"/>
      <c r="B199" s="43"/>
      <c r="C199" s="43"/>
      <c r="D199" s="43"/>
      <c r="E199" s="37"/>
      <c r="F199" s="35"/>
      <c r="G199" s="35"/>
      <c r="H199" s="35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spans="1:28" s="32" customFormat="1" x14ac:dyDescent="0.35">
      <c r="A200" s="37"/>
      <c r="B200" s="43"/>
      <c r="C200" s="43"/>
      <c r="D200" s="43"/>
      <c r="E200" s="37"/>
      <c r="F200" s="35"/>
      <c r="G200" s="35"/>
      <c r="H200" s="35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spans="1:28" s="32" customFormat="1" x14ac:dyDescent="0.35">
      <c r="A201" s="37"/>
      <c r="B201" s="43"/>
      <c r="C201" s="43"/>
      <c r="D201" s="43"/>
      <c r="E201" s="37"/>
      <c r="F201" s="35"/>
      <c r="G201" s="35"/>
      <c r="H201" s="35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spans="1:28" s="32" customFormat="1" x14ac:dyDescent="0.35">
      <c r="A202" s="37"/>
      <c r="B202" s="43"/>
      <c r="C202" s="43"/>
      <c r="D202" s="43"/>
      <c r="E202" s="37"/>
      <c r="F202" s="35"/>
      <c r="G202" s="35"/>
      <c r="H202" s="35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spans="1:28" s="32" customFormat="1" x14ac:dyDescent="0.35">
      <c r="A203" s="37"/>
      <c r="B203" s="43"/>
      <c r="C203" s="43"/>
      <c r="D203" s="43"/>
      <c r="E203" s="37"/>
      <c r="F203" s="35"/>
      <c r="G203" s="35"/>
      <c r="H203" s="35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spans="1:28" s="32" customFormat="1" x14ac:dyDescent="0.35">
      <c r="A204" s="37"/>
      <c r="B204" s="43"/>
      <c r="C204" s="43"/>
      <c r="D204" s="43"/>
      <c r="E204" s="37"/>
      <c r="F204" s="35"/>
      <c r="G204" s="35"/>
      <c r="H204" s="35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spans="1:28" s="32" customFormat="1" x14ac:dyDescent="0.35">
      <c r="A205" s="37"/>
      <c r="B205" s="43"/>
      <c r="C205" s="43"/>
      <c r="D205" s="43"/>
      <c r="E205" s="37"/>
      <c r="F205" s="35"/>
      <c r="G205" s="35"/>
      <c r="H205" s="35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spans="1:28" s="32" customFormat="1" x14ac:dyDescent="0.35">
      <c r="A206" s="37"/>
      <c r="B206" s="43"/>
      <c r="C206" s="43"/>
      <c r="D206" s="43"/>
      <c r="E206" s="37"/>
      <c r="F206" s="35"/>
      <c r="G206" s="35"/>
      <c r="H206" s="35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28" s="32" customFormat="1" x14ac:dyDescent="0.35">
      <c r="A207" s="37"/>
      <c r="B207" s="43"/>
      <c r="C207" s="43"/>
      <c r="D207" s="43"/>
      <c r="E207" s="37"/>
      <c r="F207" s="35"/>
      <c r="G207" s="35"/>
      <c r="H207" s="35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spans="1:28" s="32" customFormat="1" x14ac:dyDescent="0.35">
      <c r="A208" s="37"/>
      <c r="B208" s="43"/>
      <c r="C208" s="43"/>
      <c r="D208" s="43"/>
      <c r="E208" s="37"/>
      <c r="F208" s="35"/>
      <c r="G208" s="35"/>
      <c r="H208" s="35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28" s="32" customFormat="1" x14ac:dyDescent="0.35">
      <c r="A209" s="37"/>
      <c r="B209" s="43"/>
      <c r="C209" s="43"/>
      <c r="D209" s="43"/>
      <c r="E209" s="37"/>
      <c r="F209" s="35"/>
      <c r="G209" s="35"/>
      <c r="H209" s="35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spans="1:28" s="32" customFormat="1" x14ac:dyDescent="0.35">
      <c r="A210" s="37"/>
      <c r="B210" s="43"/>
      <c r="C210" s="43"/>
      <c r="D210" s="43"/>
      <c r="E210" s="37"/>
      <c r="F210" s="35"/>
      <c r="G210" s="35"/>
      <c r="H210" s="35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spans="1:28" s="32" customFormat="1" x14ac:dyDescent="0.35">
      <c r="A211" s="37"/>
      <c r="B211" s="43"/>
      <c r="C211" s="43"/>
      <c r="D211" s="43"/>
      <c r="E211" s="37"/>
      <c r="F211" s="35"/>
      <c r="G211" s="35"/>
      <c r="H211" s="35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spans="1:28" s="32" customFormat="1" x14ac:dyDescent="0.35">
      <c r="A212" s="37"/>
      <c r="B212" s="43"/>
      <c r="C212" s="43"/>
      <c r="D212" s="43"/>
      <c r="E212" s="37"/>
      <c r="F212" s="35"/>
      <c r="G212" s="35"/>
      <c r="H212" s="35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spans="1:28" s="32" customFormat="1" x14ac:dyDescent="0.35">
      <c r="A213" s="37"/>
      <c r="B213" s="43"/>
      <c r="C213" s="43"/>
      <c r="D213" s="43"/>
      <c r="E213" s="37"/>
      <c r="F213" s="35"/>
      <c r="G213" s="35"/>
      <c r="H213" s="35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spans="1:28" s="32" customFormat="1" x14ac:dyDescent="0.35">
      <c r="A214" s="37"/>
      <c r="B214" s="43"/>
      <c r="C214" s="43"/>
      <c r="D214" s="43"/>
      <c r="E214" s="37"/>
      <c r="F214" s="35"/>
      <c r="G214" s="35"/>
      <c r="H214" s="35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spans="1:28" s="32" customFormat="1" x14ac:dyDescent="0.35">
      <c r="A215" s="37"/>
      <c r="B215" s="43"/>
      <c r="C215" s="43"/>
      <c r="D215" s="43"/>
      <c r="E215" s="37"/>
      <c r="F215" s="35"/>
      <c r="G215" s="35"/>
      <c r="H215" s="35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spans="1:28" s="32" customFormat="1" x14ac:dyDescent="0.35">
      <c r="A216" s="37"/>
      <c r="B216" s="43"/>
      <c r="C216" s="43"/>
      <c r="D216" s="43"/>
      <c r="E216" s="37"/>
      <c r="F216" s="35"/>
      <c r="G216" s="35"/>
      <c r="H216" s="35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spans="1:28" s="32" customFormat="1" x14ac:dyDescent="0.35">
      <c r="A217" s="37"/>
      <c r="B217" s="43"/>
      <c r="C217" s="43"/>
      <c r="D217" s="43"/>
      <c r="E217" s="37"/>
      <c r="F217" s="35"/>
      <c r="G217" s="35"/>
      <c r="H217" s="35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spans="1:28" s="32" customFormat="1" x14ac:dyDescent="0.35">
      <c r="A218" s="37"/>
      <c r="B218" s="43"/>
      <c r="C218" s="43"/>
      <c r="D218" s="43"/>
      <c r="E218" s="37"/>
      <c r="F218" s="35"/>
      <c r="G218" s="35"/>
      <c r="H218" s="35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spans="1:28" s="32" customFormat="1" x14ac:dyDescent="0.35">
      <c r="A219" s="37"/>
      <c r="B219" s="43"/>
      <c r="C219" s="43"/>
      <c r="D219" s="43"/>
      <c r="E219" s="37"/>
      <c r="F219" s="35"/>
      <c r="G219" s="35"/>
      <c r="H219" s="35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spans="1:28" s="32" customFormat="1" x14ac:dyDescent="0.35">
      <c r="A220" s="37"/>
      <c r="B220" s="43"/>
      <c r="C220" s="43"/>
      <c r="D220" s="43"/>
      <c r="E220" s="37"/>
      <c r="F220" s="35"/>
      <c r="G220" s="35"/>
      <c r="H220" s="35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spans="1:28" s="32" customFormat="1" x14ac:dyDescent="0.35">
      <c r="A221" s="37"/>
      <c r="B221" s="43"/>
      <c r="C221" s="43"/>
      <c r="D221" s="43"/>
      <c r="E221" s="37"/>
      <c r="F221" s="35"/>
      <c r="G221" s="35"/>
      <c r="H221" s="35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 spans="1:28" s="32" customFormat="1" x14ac:dyDescent="0.35">
      <c r="A222" s="37"/>
      <c r="B222" s="43"/>
      <c r="C222" s="43"/>
      <c r="D222" s="43"/>
      <c r="E222" s="37"/>
      <c r="F222" s="35"/>
      <c r="G222" s="35"/>
      <c r="H222" s="35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 spans="1:28" s="32" customFormat="1" x14ac:dyDescent="0.35">
      <c r="A223" s="37"/>
      <c r="B223" s="43"/>
      <c r="C223" s="43"/>
      <c r="D223" s="43"/>
      <c r="E223" s="37"/>
      <c r="F223" s="35"/>
      <c r="G223" s="35"/>
      <c r="H223" s="35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 spans="1:28" s="32" customFormat="1" x14ac:dyDescent="0.35">
      <c r="A224" s="37"/>
      <c r="B224" s="43"/>
      <c r="C224" s="43"/>
      <c r="D224" s="43"/>
      <c r="E224" s="37"/>
      <c r="F224" s="35"/>
      <c r="G224" s="35"/>
      <c r="H224" s="35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 spans="1:28" s="32" customFormat="1" x14ac:dyDescent="0.35">
      <c r="A225" s="37"/>
      <c r="B225" s="43"/>
      <c r="C225" s="43"/>
      <c r="D225" s="43"/>
      <c r="E225" s="37"/>
      <c r="F225" s="35"/>
      <c r="G225" s="35"/>
      <c r="H225" s="35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 spans="1:28" s="32" customFormat="1" x14ac:dyDescent="0.35">
      <c r="A226" s="37"/>
      <c r="B226" s="43"/>
      <c r="C226" s="43"/>
      <c r="D226" s="43"/>
      <c r="E226" s="37"/>
      <c r="F226" s="35"/>
      <c r="G226" s="35"/>
      <c r="H226" s="35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 spans="1:28" s="32" customFormat="1" x14ac:dyDescent="0.35">
      <c r="A227" s="37"/>
      <c r="B227" s="43"/>
      <c r="C227" s="43"/>
      <c r="D227" s="43"/>
      <c r="E227" s="37"/>
      <c r="F227" s="35"/>
      <c r="G227" s="35"/>
      <c r="H227" s="35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 spans="1:28" s="32" customFormat="1" x14ac:dyDescent="0.35">
      <c r="A228" s="37"/>
      <c r="B228" s="43"/>
      <c r="C228" s="43"/>
      <c r="D228" s="43"/>
      <c r="E228" s="37"/>
      <c r="F228" s="35"/>
      <c r="G228" s="35"/>
      <c r="H228" s="35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 spans="1:28" s="32" customFormat="1" x14ac:dyDescent="0.35">
      <c r="A229" s="37"/>
      <c r="B229" s="43"/>
      <c r="C229" s="43"/>
      <c r="D229" s="43"/>
      <c r="E229" s="37"/>
      <c r="F229" s="35"/>
      <c r="G229" s="35"/>
      <c r="H229" s="35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 spans="1:28" s="32" customFormat="1" x14ac:dyDescent="0.35">
      <c r="A230" s="37"/>
      <c r="B230" s="43"/>
      <c r="C230" s="43"/>
      <c r="D230" s="43"/>
      <c r="E230" s="37"/>
      <c r="F230" s="35"/>
      <c r="G230" s="35"/>
      <c r="H230" s="35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 spans="1:28" s="32" customFormat="1" x14ac:dyDescent="0.35">
      <c r="A231" s="37"/>
      <c r="B231" s="43"/>
      <c r="C231" s="43"/>
      <c r="D231" s="43"/>
      <c r="E231" s="37"/>
      <c r="F231" s="35"/>
      <c r="G231" s="35"/>
      <c r="H231" s="35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 spans="1:28" s="32" customFormat="1" x14ac:dyDescent="0.35">
      <c r="A232" s="37"/>
      <c r="B232" s="43"/>
      <c r="C232" s="43"/>
      <c r="D232" s="43"/>
      <c r="E232" s="37"/>
      <c r="F232" s="35"/>
      <c r="G232" s="35"/>
      <c r="H232" s="35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 spans="1:28" s="32" customFormat="1" x14ac:dyDescent="0.35">
      <c r="A233" s="37"/>
      <c r="B233" s="43"/>
      <c r="C233" s="43"/>
      <c r="D233" s="43"/>
      <c r="E233" s="37"/>
      <c r="F233" s="35"/>
      <c r="G233" s="35"/>
      <c r="H233" s="35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 spans="1:28" s="32" customFormat="1" x14ac:dyDescent="0.35">
      <c r="A234" s="37"/>
      <c r="B234" s="43"/>
      <c r="C234" s="43"/>
      <c r="D234" s="43"/>
      <c r="E234" s="37"/>
      <c r="F234" s="35"/>
      <c r="G234" s="35"/>
      <c r="H234" s="35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 spans="1:28" s="32" customFormat="1" x14ac:dyDescent="0.35">
      <c r="A235" s="37"/>
      <c r="B235" s="43"/>
      <c r="C235" s="43"/>
      <c r="D235" s="43"/>
      <c r="E235" s="37"/>
      <c r="F235" s="35"/>
      <c r="G235" s="35"/>
      <c r="H235" s="35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 spans="1:28" s="32" customFormat="1" x14ac:dyDescent="0.35">
      <c r="A236" s="37"/>
      <c r="B236" s="43"/>
      <c r="C236" s="43"/>
      <c r="D236" s="43"/>
      <c r="E236" s="37"/>
      <c r="F236" s="35"/>
      <c r="G236" s="35"/>
      <c r="H236" s="35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 spans="1:28" s="32" customFormat="1" x14ac:dyDescent="0.35">
      <c r="A237" s="37"/>
      <c r="B237" s="43"/>
      <c r="C237" s="43"/>
      <c r="D237" s="43"/>
      <c r="E237" s="37"/>
      <c r="F237" s="35"/>
      <c r="G237" s="35"/>
      <c r="H237" s="35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 spans="1:28" s="32" customFormat="1" x14ac:dyDescent="0.35">
      <c r="A238" s="37"/>
      <c r="B238" s="43"/>
      <c r="C238" s="43"/>
      <c r="D238" s="43"/>
      <c r="E238" s="37"/>
      <c r="F238" s="35"/>
      <c r="G238" s="35"/>
      <c r="H238" s="35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 spans="1:28" s="32" customFormat="1" x14ac:dyDescent="0.35">
      <c r="A239" s="37"/>
      <c r="B239" s="43"/>
      <c r="C239" s="43"/>
      <c r="D239" s="43"/>
      <c r="E239" s="37"/>
      <c r="F239" s="35"/>
      <c r="G239" s="35"/>
      <c r="H239" s="35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 spans="1:28" s="32" customFormat="1" x14ac:dyDescent="0.35">
      <c r="A240" s="37"/>
      <c r="B240" s="43"/>
      <c r="C240" s="43"/>
      <c r="D240" s="43"/>
      <c r="E240" s="37"/>
      <c r="F240" s="35"/>
      <c r="G240" s="35"/>
      <c r="H240" s="35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 spans="1:28" s="32" customFormat="1" x14ac:dyDescent="0.35">
      <c r="A241" s="37"/>
      <c r="B241" s="43"/>
      <c r="C241" s="43"/>
      <c r="D241" s="43"/>
      <c r="E241" s="37"/>
      <c r="F241" s="35"/>
      <c r="G241" s="35"/>
      <c r="H241" s="35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 spans="1:28" s="32" customFormat="1" x14ac:dyDescent="0.35">
      <c r="A242" s="37"/>
      <c r="B242" s="43"/>
      <c r="C242" s="43"/>
      <c r="D242" s="43"/>
      <c r="E242" s="37"/>
      <c r="F242" s="35"/>
      <c r="G242" s="35"/>
      <c r="H242" s="35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28" s="32" customFormat="1" x14ac:dyDescent="0.35">
      <c r="A243" s="37"/>
      <c r="B243" s="43"/>
      <c r="C243" s="43"/>
      <c r="D243" s="43"/>
      <c r="E243" s="37"/>
      <c r="F243" s="35"/>
      <c r="G243" s="35"/>
      <c r="H243" s="35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 spans="1:28" s="32" customFormat="1" x14ac:dyDescent="0.35">
      <c r="A244" s="37"/>
      <c r="B244" s="43"/>
      <c r="C244" s="43"/>
      <c r="D244" s="43"/>
      <c r="E244" s="37"/>
      <c r="F244" s="35"/>
      <c r="G244" s="35"/>
      <c r="H244" s="35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28" s="32" customFormat="1" x14ac:dyDescent="0.35">
      <c r="A245" s="37"/>
      <c r="B245" s="43"/>
      <c r="C245" s="43"/>
      <c r="D245" s="43"/>
      <c r="E245" s="37"/>
      <c r="F245" s="35"/>
      <c r="G245" s="35"/>
      <c r="H245" s="35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 spans="1:28" s="32" customFormat="1" x14ac:dyDescent="0.35">
      <c r="A246" s="37"/>
      <c r="B246" s="43"/>
      <c r="C246" s="43"/>
      <c r="D246" s="43"/>
      <c r="E246" s="37"/>
      <c r="F246" s="35"/>
      <c r="G246" s="35"/>
      <c r="H246" s="35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 spans="1:28" s="32" customFormat="1" x14ac:dyDescent="0.35">
      <c r="A247" s="37"/>
      <c r="B247" s="43"/>
      <c r="C247" s="43"/>
      <c r="D247" s="43"/>
      <c r="E247" s="37"/>
      <c r="F247" s="35"/>
      <c r="G247" s="35"/>
      <c r="H247" s="35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 spans="1:28" s="32" customFormat="1" x14ac:dyDescent="0.35">
      <c r="A248" s="37"/>
      <c r="B248" s="43"/>
      <c r="C248" s="43"/>
      <c r="D248" s="43"/>
      <c r="E248" s="37"/>
      <c r="F248" s="35"/>
      <c r="G248" s="35"/>
      <c r="H248" s="35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 spans="1:28" s="32" customFormat="1" x14ac:dyDescent="0.35">
      <c r="A249" s="37"/>
      <c r="B249" s="43"/>
      <c r="C249" s="43"/>
      <c r="D249" s="43"/>
      <c r="E249" s="37"/>
      <c r="F249" s="35"/>
      <c r="G249" s="35"/>
      <c r="H249" s="35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spans="1:28" s="32" customFormat="1" x14ac:dyDescent="0.35">
      <c r="A250" s="37"/>
      <c r="B250" s="43"/>
      <c r="C250" s="43"/>
      <c r="D250" s="43"/>
      <c r="E250" s="37"/>
      <c r="F250" s="35"/>
      <c r="G250" s="35"/>
      <c r="H250" s="35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spans="1:28" s="32" customFormat="1" x14ac:dyDescent="0.35">
      <c r="A251" s="37"/>
      <c r="B251" s="43"/>
      <c r="C251" s="43"/>
      <c r="D251" s="43"/>
      <c r="E251" s="37"/>
      <c r="F251" s="35"/>
      <c r="G251" s="35"/>
      <c r="H251" s="35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 spans="1:28" s="32" customFormat="1" x14ac:dyDescent="0.35">
      <c r="A252" s="37"/>
      <c r="B252" s="43"/>
      <c r="C252" s="43"/>
      <c r="D252" s="43"/>
      <c r="E252" s="37"/>
      <c r="F252" s="35"/>
      <c r="G252" s="35"/>
      <c r="H252" s="35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 spans="1:28" s="32" customFormat="1" x14ac:dyDescent="0.35">
      <c r="A253" s="37"/>
      <c r="B253" s="43"/>
      <c r="C253" s="43"/>
      <c r="D253" s="43"/>
      <c r="E253" s="37"/>
      <c r="F253" s="35"/>
      <c r="G253" s="35"/>
      <c r="H253" s="35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 spans="1:28" s="32" customFormat="1" x14ac:dyDescent="0.35">
      <c r="A254" s="37"/>
      <c r="B254" s="43"/>
      <c r="C254" s="43"/>
      <c r="D254" s="43"/>
      <c r="E254" s="37"/>
      <c r="F254" s="35"/>
      <c r="G254" s="35"/>
      <c r="H254" s="35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spans="1:28" s="32" customFormat="1" x14ac:dyDescent="0.35">
      <c r="A255" s="37"/>
      <c r="B255" s="43"/>
      <c r="C255" s="43"/>
      <c r="D255" s="43"/>
      <c r="E255" s="37"/>
      <c r="F255" s="35"/>
      <c r="G255" s="35"/>
      <c r="H255" s="35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spans="1:28" s="32" customFormat="1" x14ac:dyDescent="0.35">
      <c r="A256" s="37"/>
      <c r="B256" s="43"/>
      <c r="C256" s="43"/>
      <c r="D256" s="43"/>
      <c r="E256" s="37"/>
      <c r="F256" s="35"/>
      <c r="G256" s="35"/>
      <c r="H256" s="35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spans="1:28" s="32" customFormat="1" x14ac:dyDescent="0.35">
      <c r="A257" s="37"/>
      <c r="B257" s="43"/>
      <c r="C257" s="43"/>
      <c r="D257" s="43"/>
      <c r="E257" s="37"/>
      <c r="F257" s="35"/>
      <c r="G257" s="35"/>
      <c r="H257" s="35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 spans="1:28" s="32" customFormat="1" x14ac:dyDescent="0.35">
      <c r="A258" s="37"/>
      <c r="B258" s="43"/>
      <c r="C258" s="43"/>
      <c r="D258" s="43"/>
      <c r="E258" s="37"/>
      <c r="F258" s="35"/>
      <c r="G258" s="35"/>
      <c r="H258" s="35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 spans="1:28" s="32" customFormat="1" x14ac:dyDescent="0.35">
      <c r="A259" s="37"/>
      <c r="B259" s="43"/>
      <c r="C259" s="43"/>
      <c r="D259" s="43"/>
      <c r="E259" s="37"/>
      <c r="F259" s="35"/>
      <c r="G259" s="35"/>
      <c r="H259" s="35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spans="1:28" s="32" customFormat="1" x14ac:dyDescent="0.35">
      <c r="A260" s="37"/>
      <c r="B260" s="43"/>
      <c r="C260" s="43"/>
      <c r="D260" s="43"/>
      <c r="E260" s="37"/>
      <c r="F260" s="35"/>
      <c r="G260" s="35"/>
      <c r="H260" s="35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spans="1:28" s="32" customFormat="1" x14ac:dyDescent="0.35">
      <c r="A261" s="37"/>
      <c r="B261" s="43"/>
      <c r="C261" s="43"/>
      <c r="D261" s="43"/>
      <c r="E261" s="37"/>
      <c r="F261" s="35"/>
      <c r="G261" s="35"/>
      <c r="H261" s="35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spans="1:28" s="32" customFormat="1" x14ac:dyDescent="0.35">
      <c r="A262" s="37"/>
      <c r="B262" s="43"/>
      <c r="C262" s="43"/>
      <c r="D262" s="43"/>
      <c r="E262" s="37"/>
      <c r="F262" s="35"/>
      <c r="G262" s="35"/>
      <c r="H262" s="35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spans="1:28" s="32" customFormat="1" x14ac:dyDescent="0.35">
      <c r="A263" s="37"/>
      <c r="B263" s="43"/>
      <c r="C263" s="43"/>
      <c r="D263" s="43"/>
      <c r="E263" s="37"/>
      <c r="F263" s="35"/>
      <c r="G263" s="35"/>
      <c r="H263" s="35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spans="1:28" s="32" customFormat="1" x14ac:dyDescent="0.35">
      <c r="A264" s="37"/>
      <c r="B264" s="43"/>
      <c r="C264" s="43"/>
      <c r="D264" s="43"/>
      <c r="E264" s="37"/>
      <c r="F264" s="35"/>
      <c r="G264" s="35"/>
      <c r="H264" s="35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spans="1:28" s="32" customFormat="1" x14ac:dyDescent="0.35">
      <c r="A265" s="37"/>
      <c r="B265" s="43"/>
      <c r="C265" s="43"/>
      <c r="D265" s="43"/>
      <c r="E265" s="37"/>
      <c r="F265" s="35"/>
      <c r="G265" s="35"/>
      <c r="H265" s="35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spans="1:28" s="32" customFormat="1" x14ac:dyDescent="0.35">
      <c r="A266" s="37"/>
      <c r="B266" s="43"/>
      <c r="C266" s="43"/>
      <c r="D266" s="43"/>
      <c r="E266" s="37"/>
      <c r="F266" s="35"/>
      <c r="G266" s="35"/>
      <c r="H266" s="35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 spans="1:28" s="32" customFormat="1" x14ac:dyDescent="0.35">
      <c r="A267" s="37"/>
      <c r="B267" s="43"/>
      <c r="C267" s="43"/>
      <c r="D267" s="43"/>
      <c r="E267" s="37"/>
      <c r="F267" s="35"/>
      <c r="G267" s="35"/>
      <c r="H267" s="35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spans="1:28" s="32" customFormat="1" x14ac:dyDescent="0.35">
      <c r="A268" s="37"/>
      <c r="B268" s="43"/>
      <c r="C268" s="43"/>
      <c r="D268" s="43"/>
      <c r="E268" s="37"/>
      <c r="F268" s="35"/>
      <c r="G268" s="35"/>
      <c r="H268" s="35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spans="1:28" s="32" customFormat="1" x14ac:dyDescent="0.35">
      <c r="A269" s="37"/>
      <c r="B269" s="43"/>
      <c r="C269" s="43"/>
      <c r="D269" s="43"/>
      <c r="E269" s="37"/>
      <c r="F269" s="35"/>
      <c r="G269" s="35"/>
      <c r="H269" s="35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 spans="1:28" s="32" customFormat="1" x14ac:dyDescent="0.35">
      <c r="A270" s="37"/>
      <c r="B270" s="43"/>
      <c r="C270" s="43"/>
      <c r="D270" s="43"/>
      <c r="E270" s="37"/>
      <c r="F270" s="35"/>
      <c r="G270" s="35"/>
      <c r="H270" s="35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 spans="1:28" s="32" customFormat="1" x14ac:dyDescent="0.35">
      <c r="A271" s="37"/>
      <c r="B271" s="43"/>
      <c r="C271" s="43"/>
      <c r="D271" s="43"/>
      <c r="E271" s="37"/>
      <c r="F271" s="35"/>
      <c r="G271" s="35"/>
      <c r="H271" s="35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 spans="1:28" s="32" customFormat="1" x14ac:dyDescent="0.35">
      <c r="A272" s="37"/>
      <c r="B272" s="43"/>
      <c r="C272" s="43"/>
      <c r="D272" s="43"/>
      <c r="E272" s="37"/>
      <c r="F272" s="35"/>
      <c r="G272" s="35"/>
      <c r="H272" s="35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 spans="1:28" s="32" customFormat="1" x14ac:dyDescent="0.35">
      <c r="A273" s="37"/>
      <c r="B273" s="43"/>
      <c r="C273" s="43"/>
      <c r="D273" s="43"/>
      <c r="E273" s="37"/>
      <c r="F273" s="35"/>
      <c r="G273" s="35"/>
      <c r="H273" s="35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 spans="1:28" s="32" customFormat="1" x14ac:dyDescent="0.35">
      <c r="A274" s="37"/>
      <c r="B274" s="43"/>
      <c r="C274" s="43"/>
      <c r="D274" s="43"/>
      <c r="E274" s="37"/>
      <c r="F274" s="35"/>
      <c r="G274" s="35"/>
      <c r="H274" s="35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 spans="1:28" s="32" customFormat="1" x14ac:dyDescent="0.35">
      <c r="A275" s="37"/>
      <c r="B275" s="43"/>
      <c r="C275" s="43"/>
      <c r="D275" s="43"/>
      <c r="E275" s="37"/>
      <c r="F275" s="35"/>
      <c r="G275" s="35"/>
      <c r="H275" s="35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 spans="1:28" s="32" customFormat="1" x14ac:dyDescent="0.35">
      <c r="A276" s="37"/>
      <c r="B276" s="43"/>
      <c r="C276" s="43"/>
      <c r="D276" s="43"/>
      <c r="E276" s="37"/>
      <c r="F276" s="35"/>
      <c r="G276" s="35"/>
      <c r="H276" s="35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 spans="1:28" s="32" customFormat="1" x14ac:dyDescent="0.35">
      <c r="A277" s="37"/>
      <c r="B277" s="43"/>
      <c r="C277" s="43"/>
      <c r="D277" s="43"/>
      <c r="E277" s="37"/>
      <c r="F277" s="35"/>
      <c r="G277" s="35"/>
      <c r="H277" s="35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 spans="1:28" s="32" customFormat="1" x14ac:dyDescent="0.35">
      <c r="A278" s="37"/>
      <c r="B278" s="43"/>
      <c r="C278" s="43"/>
      <c r="D278" s="43"/>
      <c r="E278" s="37"/>
      <c r="F278" s="35"/>
      <c r="G278" s="35"/>
      <c r="H278" s="35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 spans="1:28" s="32" customFormat="1" x14ac:dyDescent="0.35">
      <c r="A279" s="37"/>
      <c r="B279" s="43"/>
      <c r="C279" s="43"/>
      <c r="D279" s="43"/>
      <c r="E279" s="37"/>
      <c r="F279" s="35"/>
      <c r="G279" s="35"/>
      <c r="H279" s="35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 spans="1:28" s="32" customFormat="1" x14ac:dyDescent="0.35">
      <c r="A280" s="37"/>
      <c r="B280" s="43"/>
      <c r="C280" s="43"/>
      <c r="D280" s="43"/>
      <c r="E280" s="37"/>
      <c r="F280" s="35"/>
      <c r="G280" s="35"/>
      <c r="H280" s="35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 spans="1:28" s="32" customFormat="1" x14ac:dyDescent="0.35">
      <c r="A281" s="37"/>
      <c r="B281" s="43"/>
      <c r="C281" s="43"/>
      <c r="D281" s="43"/>
      <c r="E281" s="37"/>
      <c r="F281" s="35"/>
      <c r="G281" s="35"/>
      <c r="H281" s="35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28" s="32" customFormat="1" x14ac:dyDescent="0.35">
      <c r="A282" s="37"/>
      <c r="B282" s="43"/>
      <c r="C282" s="43"/>
      <c r="D282" s="43"/>
      <c r="E282" s="37"/>
      <c r="F282" s="35"/>
      <c r="G282" s="35"/>
      <c r="H282" s="35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 spans="1:28" s="32" customFormat="1" x14ac:dyDescent="0.35">
      <c r="A283" s="37"/>
      <c r="B283" s="43"/>
      <c r="C283" s="43"/>
      <c r="D283" s="43"/>
      <c r="E283" s="37"/>
      <c r="F283" s="35"/>
      <c r="G283" s="35"/>
      <c r="H283" s="35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28" s="32" customFormat="1" x14ac:dyDescent="0.35">
      <c r="A284" s="37"/>
      <c r="B284" s="43"/>
      <c r="C284" s="43"/>
      <c r="D284" s="43"/>
      <c r="E284" s="37"/>
      <c r="F284" s="35"/>
      <c r="G284" s="35"/>
      <c r="H284" s="35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 spans="1:28" s="32" customFormat="1" x14ac:dyDescent="0.35">
      <c r="A285" s="37"/>
      <c r="B285" s="43"/>
      <c r="C285" s="43"/>
      <c r="D285" s="43"/>
      <c r="E285" s="37"/>
      <c r="F285" s="35"/>
      <c r="G285" s="35"/>
      <c r="H285" s="35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 spans="1:28" s="40" customFormat="1" x14ac:dyDescent="0.35">
      <c r="A286" s="57"/>
      <c r="B286" s="13"/>
      <c r="C286" s="13"/>
      <c r="D286" s="13"/>
      <c r="E286" s="28"/>
      <c r="F286" s="35"/>
      <c r="G286" s="35"/>
      <c r="H286" s="35"/>
      <c r="I286" s="39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x14ac:dyDescent="0.35">
      <c r="A287" s="58"/>
      <c r="B287" s="8"/>
      <c r="C287" s="8"/>
      <c r="D287" s="8"/>
      <c r="E287" s="26"/>
      <c r="F287" s="35"/>
      <c r="G287" s="35"/>
      <c r="H287" s="35"/>
      <c r="I287" s="29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5">
      <c r="A288" s="58"/>
      <c r="B288" s="8"/>
      <c r="C288" s="8"/>
      <c r="D288" s="8"/>
      <c r="E288" s="26"/>
      <c r="F288" s="35"/>
      <c r="G288" s="35"/>
      <c r="H288" s="35"/>
      <c r="I288" s="29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x14ac:dyDescent="0.35">
      <c r="A289" s="58"/>
      <c r="B289" s="8"/>
      <c r="C289" s="8"/>
      <c r="D289" s="8"/>
      <c r="E289" s="26"/>
      <c r="F289" s="35"/>
      <c r="G289" s="35"/>
      <c r="H289" s="35"/>
      <c r="I289" s="29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x14ac:dyDescent="0.35">
      <c r="A290" s="58"/>
      <c r="B290" s="8"/>
      <c r="C290" s="8"/>
      <c r="D290" s="8"/>
      <c r="E290" s="26"/>
      <c r="F290" s="35"/>
      <c r="G290" s="35"/>
      <c r="H290" s="35"/>
      <c r="I290" s="29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x14ac:dyDescent="0.35">
      <c r="A291" s="58"/>
      <c r="B291" s="8"/>
      <c r="C291" s="8"/>
      <c r="D291" s="8"/>
      <c r="E291" s="26"/>
      <c r="F291" s="35"/>
      <c r="G291" s="35"/>
      <c r="H291" s="35"/>
      <c r="I291" s="29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x14ac:dyDescent="0.35">
      <c r="A292" s="58"/>
      <c r="B292" s="8"/>
      <c r="C292" s="8"/>
      <c r="D292" s="8"/>
      <c r="E292" s="26"/>
      <c r="F292" s="35"/>
      <c r="G292" s="35"/>
      <c r="H292" s="35"/>
      <c r="I292" s="29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x14ac:dyDescent="0.35">
      <c r="A293" s="58"/>
      <c r="B293" s="8"/>
      <c r="C293" s="8"/>
      <c r="D293" s="8"/>
      <c r="E293" s="26"/>
      <c r="F293" s="35"/>
      <c r="G293" s="35"/>
      <c r="H293" s="35"/>
      <c r="I293" s="29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x14ac:dyDescent="0.35">
      <c r="A294" s="58"/>
      <c r="B294" s="8"/>
      <c r="C294" s="8"/>
      <c r="D294" s="8"/>
      <c r="E294" s="26"/>
      <c r="F294" s="35"/>
      <c r="G294" s="35"/>
      <c r="H294" s="35"/>
      <c r="I294" s="29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x14ac:dyDescent="0.35">
      <c r="A295" s="58"/>
      <c r="B295" s="8"/>
      <c r="C295" s="8"/>
      <c r="D295" s="8"/>
      <c r="E295" s="26"/>
      <c r="F295" s="35"/>
      <c r="G295" s="35"/>
      <c r="H295" s="35"/>
      <c r="I295" s="29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x14ac:dyDescent="0.35">
      <c r="A296" s="58"/>
      <c r="B296" s="8"/>
      <c r="C296" s="8"/>
      <c r="D296" s="8"/>
      <c r="E296" s="26"/>
      <c r="F296" s="35"/>
      <c r="G296" s="35"/>
      <c r="H296" s="35"/>
      <c r="I296" s="29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x14ac:dyDescent="0.35">
      <c r="A297" s="58"/>
      <c r="B297" s="8"/>
      <c r="C297" s="8"/>
      <c r="D297" s="8"/>
      <c r="E297" s="26"/>
      <c r="F297" s="35"/>
      <c r="G297" s="35"/>
      <c r="H297" s="35"/>
      <c r="I297" s="29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x14ac:dyDescent="0.35">
      <c r="A298" s="58"/>
      <c r="B298" s="8"/>
      <c r="C298" s="8"/>
      <c r="D298" s="8"/>
      <c r="E298" s="26"/>
      <c r="F298" s="35"/>
      <c r="G298" s="35"/>
      <c r="H298" s="35"/>
      <c r="I298" s="29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x14ac:dyDescent="0.35">
      <c r="A299" s="58"/>
      <c r="B299" s="8"/>
      <c r="C299" s="8"/>
      <c r="D299" s="8"/>
      <c r="E299" s="26"/>
      <c r="F299" s="35"/>
      <c r="G299" s="35"/>
      <c r="H299" s="35"/>
      <c r="I299" s="29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x14ac:dyDescent="0.35">
      <c r="A300" s="58"/>
      <c r="B300" s="8"/>
      <c r="C300" s="8"/>
      <c r="D300" s="8"/>
      <c r="E300" s="26"/>
      <c r="F300" s="35"/>
      <c r="G300" s="35"/>
      <c r="H300" s="35"/>
      <c r="I300" s="29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x14ac:dyDescent="0.35">
      <c r="A301" s="58"/>
      <c r="B301" s="8"/>
      <c r="C301" s="8"/>
      <c r="D301" s="8"/>
      <c r="E301" s="26"/>
      <c r="F301" s="35"/>
      <c r="G301" s="35"/>
      <c r="H301" s="35"/>
      <c r="I301" s="29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5">
      <c r="A302" s="58"/>
      <c r="B302" s="8"/>
      <c r="C302" s="8"/>
      <c r="D302" s="8"/>
      <c r="E302" s="26"/>
      <c r="F302" s="35"/>
      <c r="G302" s="35"/>
      <c r="H302" s="35"/>
      <c r="I302" s="29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35">
      <c r="A303" s="58"/>
      <c r="B303" s="8"/>
      <c r="C303" s="8"/>
      <c r="D303" s="8"/>
      <c r="E303" s="26"/>
      <c r="F303" s="35"/>
      <c r="G303" s="35"/>
      <c r="H303" s="35"/>
      <c r="I303" s="29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x14ac:dyDescent="0.35">
      <c r="A304" s="58"/>
      <c r="B304" s="8"/>
      <c r="C304" s="8"/>
      <c r="D304" s="8"/>
      <c r="E304" s="26"/>
      <c r="F304" s="35"/>
      <c r="G304" s="35"/>
      <c r="H304" s="35"/>
      <c r="I304" s="29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x14ac:dyDescent="0.35">
      <c r="A305" s="58"/>
      <c r="B305" s="8"/>
      <c r="C305" s="8"/>
      <c r="D305" s="8"/>
      <c r="E305" s="26"/>
      <c r="F305" s="35"/>
      <c r="G305" s="35"/>
      <c r="H305" s="35"/>
      <c r="I305" s="29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5">
      <c r="A306" s="58"/>
      <c r="B306" s="8"/>
      <c r="C306" s="8"/>
      <c r="D306" s="8"/>
      <c r="E306" s="26"/>
      <c r="F306" s="35"/>
      <c r="G306" s="35"/>
      <c r="H306" s="35"/>
      <c r="I306" s="29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35">
      <c r="A307" s="58"/>
      <c r="B307" s="8"/>
      <c r="C307" s="8"/>
      <c r="D307" s="8"/>
      <c r="E307" s="26"/>
      <c r="F307" s="35"/>
      <c r="G307" s="35"/>
      <c r="H307" s="35"/>
      <c r="I307" s="29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x14ac:dyDescent="0.35">
      <c r="A308" s="58"/>
      <c r="B308" s="8"/>
      <c r="C308" s="8"/>
      <c r="D308" s="8"/>
      <c r="E308" s="26"/>
      <c r="F308" s="35"/>
      <c r="G308" s="35"/>
      <c r="H308" s="35"/>
      <c r="I308" s="29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x14ac:dyDescent="0.35">
      <c r="A309" s="58"/>
      <c r="B309" s="8"/>
      <c r="C309" s="8"/>
      <c r="D309" s="8"/>
      <c r="E309" s="26"/>
      <c r="F309" s="35"/>
      <c r="G309" s="35"/>
      <c r="H309" s="35"/>
      <c r="I309" s="29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x14ac:dyDescent="0.35">
      <c r="A310" s="58"/>
      <c r="B310" s="8"/>
      <c r="C310" s="8"/>
      <c r="D310" s="8"/>
      <c r="E310" s="26"/>
      <c r="F310" s="35"/>
      <c r="G310" s="35"/>
      <c r="H310" s="35"/>
      <c r="I310" s="29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x14ac:dyDescent="0.35">
      <c r="A311" s="58"/>
      <c r="B311" s="8"/>
      <c r="C311" s="8"/>
      <c r="D311" s="8"/>
      <c r="E311" s="26"/>
      <c r="F311" s="35"/>
      <c r="G311" s="35"/>
      <c r="H311" s="35"/>
      <c r="I311" s="29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5">
      <c r="A312" s="58"/>
      <c r="B312" s="8"/>
      <c r="C312" s="8"/>
      <c r="D312" s="8"/>
      <c r="E312" s="26"/>
      <c r="F312" s="35"/>
      <c r="G312" s="35"/>
      <c r="H312" s="35"/>
      <c r="I312" s="29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5">
      <c r="A313" s="58"/>
      <c r="B313" s="8"/>
      <c r="C313" s="8"/>
      <c r="D313" s="8"/>
      <c r="E313" s="26"/>
      <c r="F313" s="35"/>
      <c r="G313" s="35"/>
      <c r="H313" s="35"/>
      <c r="I313" s="29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x14ac:dyDescent="0.35">
      <c r="A314" s="58"/>
      <c r="B314" s="8"/>
      <c r="C314" s="8"/>
      <c r="D314" s="8"/>
      <c r="E314" s="26"/>
      <c r="F314" s="35"/>
      <c r="G314" s="35"/>
      <c r="H314" s="35"/>
      <c r="I314" s="29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x14ac:dyDescent="0.35">
      <c r="A315" s="58"/>
      <c r="B315" s="8"/>
      <c r="C315" s="8"/>
      <c r="D315" s="8"/>
      <c r="E315" s="26"/>
      <c r="F315" s="35"/>
      <c r="G315" s="35"/>
      <c r="H315" s="35"/>
      <c r="I315" s="29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35">
      <c r="A316" s="58"/>
      <c r="B316" s="8"/>
      <c r="C316" s="8"/>
      <c r="D316" s="8"/>
      <c r="E316" s="26"/>
      <c r="F316" s="35"/>
      <c r="G316" s="35"/>
      <c r="H316" s="35"/>
      <c r="I316" s="29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x14ac:dyDescent="0.35">
      <c r="A317" s="58"/>
      <c r="B317" s="8"/>
      <c r="C317" s="8"/>
      <c r="D317" s="8"/>
      <c r="E317" s="26"/>
      <c r="F317" s="35"/>
      <c r="G317" s="35"/>
      <c r="H317" s="35"/>
      <c r="I317" s="29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x14ac:dyDescent="0.35">
      <c r="A318" s="58"/>
      <c r="B318" s="8"/>
      <c r="C318" s="8"/>
      <c r="D318" s="8"/>
      <c r="E318" s="26"/>
      <c r="F318" s="35"/>
      <c r="G318" s="35"/>
      <c r="H318" s="35"/>
      <c r="I318" s="29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x14ac:dyDescent="0.35">
      <c r="A319" s="58"/>
      <c r="B319" s="8"/>
      <c r="C319" s="8"/>
      <c r="D319" s="8"/>
      <c r="E319" s="26"/>
      <c r="F319" s="35"/>
      <c r="G319" s="35"/>
      <c r="H319" s="35"/>
      <c r="I319" s="29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x14ac:dyDescent="0.35">
      <c r="A320" s="58"/>
      <c r="B320" s="8"/>
      <c r="C320" s="8"/>
      <c r="D320" s="8"/>
      <c r="E320" s="26"/>
      <c r="F320" s="35"/>
      <c r="G320" s="35"/>
      <c r="H320" s="35"/>
      <c r="I320" s="29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x14ac:dyDescent="0.35">
      <c r="A321" s="58"/>
      <c r="B321" s="8"/>
      <c r="C321" s="8"/>
      <c r="D321" s="8"/>
      <c r="E321" s="26"/>
      <c r="F321" s="35"/>
      <c r="G321" s="35"/>
      <c r="H321" s="35"/>
      <c r="I321" s="29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35">
      <c r="A322" s="58"/>
      <c r="B322" s="8"/>
      <c r="C322" s="8"/>
      <c r="D322" s="8"/>
      <c r="E322" s="26"/>
      <c r="F322" s="35"/>
      <c r="G322" s="35"/>
      <c r="H322" s="35"/>
      <c r="I322" s="29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35">
      <c r="A323" s="58"/>
      <c r="B323" s="8"/>
      <c r="C323" s="8"/>
      <c r="D323" s="8"/>
      <c r="E323" s="26"/>
      <c r="F323" s="35"/>
      <c r="G323" s="35"/>
      <c r="H323" s="35"/>
      <c r="I323" s="29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x14ac:dyDescent="0.35">
      <c r="A324" s="58"/>
      <c r="B324" s="8"/>
      <c r="C324" s="8"/>
      <c r="D324" s="8"/>
      <c r="E324" s="26"/>
      <c r="F324" s="35"/>
      <c r="G324" s="35"/>
      <c r="H324" s="35"/>
      <c r="I324" s="29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x14ac:dyDescent="0.35">
      <c r="A325" s="58"/>
      <c r="B325" s="8"/>
      <c r="C325" s="8"/>
      <c r="D325" s="8"/>
      <c r="E325" s="26"/>
      <c r="F325" s="35"/>
      <c r="G325" s="35"/>
      <c r="H325" s="35"/>
      <c r="I325" s="29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x14ac:dyDescent="0.35">
      <c r="A326" s="58"/>
      <c r="B326" s="8"/>
      <c r="C326" s="8"/>
      <c r="D326" s="8"/>
      <c r="E326" s="26"/>
      <c r="F326" s="35"/>
      <c r="G326" s="35"/>
      <c r="H326" s="35"/>
      <c r="I326" s="29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35">
      <c r="A327" s="58"/>
      <c r="B327" s="8"/>
      <c r="C327" s="8"/>
      <c r="D327" s="8"/>
      <c r="E327" s="26"/>
      <c r="F327" s="35"/>
      <c r="G327" s="35"/>
      <c r="H327" s="35"/>
      <c r="I327" s="29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x14ac:dyDescent="0.35">
      <c r="A328" s="58"/>
      <c r="B328" s="8"/>
      <c r="C328" s="8"/>
      <c r="D328" s="8"/>
      <c r="E328" s="26"/>
      <c r="F328" s="35"/>
      <c r="G328" s="35"/>
      <c r="H328" s="35"/>
      <c r="I328" s="29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x14ac:dyDescent="0.35">
      <c r="A329" s="58"/>
      <c r="B329" s="8"/>
      <c r="C329" s="8"/>
      <c r="D329" s="8"/>
      <c r="E329" s="26"/>
      <c r="F329" s="35"/>
      <c r="G329" s="35"/>
      <c r="H329" s="35"/>
      <c r="I329" s="29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x14ac:dyDescent="0.35">
      <c r="A330" s="58"/>
      <c r="B330" s="8"/>
      <c r="C330" s="8"/>
      <c r="D330" s="8"/>
      <c r="E330" s="26"/>
      <c r="F330" s="35"/>
      <c r="G330" s="35"/>
      <c r="H330" s="35"/>
      <c r="I330" s="29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x14ac:dyDescent="0.35">
      <c r="A331" s="58"/>
      <c r="B331" s="8"/>
      <c r="C331" s="8"/>
      <c r="D331" s="8"/>
      <c r="E331" s="26"/>
      <c r="F331" s="35"/>
      <c r="G331" s="35"/>
      <c r="H331" s="35"/>
      <c r="I331" s="29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5">
      <c r="A332" s="58"/>
      <c r="B332" s="8"/>
      <c r="C332" s="8"/>
      <c r="D332" s="8"/>
      <c r="E332" s="26"/>
      <c r="F332" s="35"/>
      <c r="G332" s="35"/>
      <c r="H332" s="35"/>
      <c r="I332" s="29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35">
      <c r="A333" s="58"/>
      <c r="B333" s="8"/>
      <c r="C333" s="8"/>
      <c r="D333" s="8"/>
      <c r="E333" s="26"/>
      <c r="F333" s="35"/>
      <c r="G333" s="35"/>
      <c r="H333" s="35"/>
      <c r="I333" s="29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x14ac:dyDescent="0.35">
      <c r="A334" s="58"/>
      <c r="B334" s="8"/>
      <c r="C334" s="8"/>
      <c r="D334" s="8"/>
      <c r="E334" s="26"/>
      <c r="F334" s="35"/>
      <c r="G334" s="35"/>
      <c r="H334" s="35"/>
      <c r="I334" s="29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x14ac:dyDescent="0.35">
      <c r="A335" s="58"/>
      <c r="B335" s="8"/>
      <c r="C335" s="8"/>
      <c r="D335" s="8"/>
      <c r="E335" s="26"/>
      <c r="F335" s="35"/>
      <c r="G335" s="35"/>
      <c r="H335" s="35"/>
      <c r="I335" s="29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x14ac:dyDescent="0.35">
      <c r="A336" s="58"/>
      <c r="B336" s="8"/>
      <c r="C336" s="8"/>
      <c r="D336" s="8"/>
      <c r="E336" s="26"/>
      <c r="F336" s="35"/>
      <c r="G336" s="35"/>
      <c r="H336" s="35"/>
      <c r="I336" s="29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35">
      <c r="A337" s="58"/>
      <c r="B337" s="8"/>
      <c r="C337" s="8"/>
      <c r="D337" s="8"/>
      <c r="E337" s="26"/>
      <c r="F337" s="35"/>
      <c r="G337" s="35"/>
      <c r="H337" s="35"/>
      <c r="I337" s="29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5">
      <c r="A338" s="58"/>
      <c r="B338" s="8"/>
      <c r="C338" s="8"/>
      <c r="D338" s="8"/>
      <c r="E338" s="26"/>
      <c r="F338" s="35"/>
      <c r="G338" s="35"/>
      <c r="H338" s="35"/>
      <c r="I338" s="29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x14ac:dyDescent="0.35">
      <c r="A339" s="58"/>
      <c r="B339" s="8"/>
      <c r="C339" s="8"/>
      <c r="D339" s="8"/>
      <c r="E339" s="26"/>
      <c r="F339" s="35"/>
      <c r="G339" s="35"/>
      <c r="H339" s="35"/>
      <c r="I339" s="29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x14ac:dyDescent="0.35">
      <c r="A340" s="58"/>
      <c r="B340" s="8"/>
      <c r="C340" s="8"/>
      <c r="D340" s="8"/>
      <c r="E340" s="26"/>
      <c r="F340" s="35"/>
      <c r="G340" s="35"/>
      <c r="H340" s="35"/>
      <c r="I340" s="29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x14ac:dyDescent="0.35">
      <c r="A341" s="58"/>
      <c r="B341" s="8"/>
      <c r="C341" s="8"/>
      <c r="D341" s="8"/>
      <c r="E341" s="26"/>
      <c r="F341" s="35"/>
      <c r="G341" s="35"/>
      <c r="H341" s="35"/>
      <c r="I341" s="29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35">
      <c r="A342" s="58"/>
      <c r="B342" s="8"/>
      <c r="C342" s="8"/>
      <c r="D342" s="8"/>
      <c r="E342" s="26"/>
      <c r="F342" s="35"/>
      <c r="G342" s="35"/>
      <c r="H342" s="35"/>
      <c r="I342" s="29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35">
      <c r="A343" s="58"/>
      <c r="B343" s="8"/>
      <c r="C343" s="8"/>
      <c r="D343" s="8"/>
      <c r="E343" s="26"/>
      <c r="F343" s="35"/>
      <c r="G343" s="35"/>
      <c r="H343" s="35"/>
      <c r="I343" s="29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x14ac:dyDescent="0.35">
      <c r="A344" s="58"/>
      <c r="B344" s="8"/>
      <c r="C344" s="8"/>
      <c r="D344" s="8"/>
      <c r="E344" s="26"/>
      <c r="F344" s="35"/>
      <c r="G344" s="35"/>
      <c r="H344" s="35"/>
      <c r="I344" s="29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35">
      <c r="A345" s="58"/>
      <c r="B345" s="8"/>
      <c r="C345" s="8"/>
      <c r="D345" s="8"/>
      <c r="E345" s="26"/>
      <c r="F345" s="35"/>
      <c r="G345" s="35"/>
      <c r="H345" s="35"/>
      <c r="I345" s="29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x14ac:dyDescent="0.35">
      <c r="A346" s="58"/>
      <c r="B346" s="8"/>
      <c r="C346" s="8"/>
      <c r="D346" s="8"/>
      <c r="E346" s="26"/>
      <c r="F346" s="35"/>
      <c r="G346" s="35"/>
      <c r="H346" s="35"/>
      <c r="I346" s="29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35">
      <c r="A347" s="58"/>
      <c r="B347" s="8"/>
      <c r="C347" s="8"/>
      <c r="D347" s="8"/>
      <c r="E347" s="26"/>
      <c r="F347" s="35"/>
      <c r="G347" s="35"/>
      <c r="H347" s="35"/>
      <c r="I347" s="29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x14ac:dyDescent="0.35">
      <c r="A348" s="58"/>
      <c r="B348" s="8"/>
      <c r="C348" s="8"/>
      <c r="D348" s="8"/>
      <c r="E348" s="26"/>
      <c r="F348" s="35"/>
      <c r="G348" s="35"/>
      <c r="H348" s="35"/>
      <c r="I348" s="29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35">
      <c r="A349" s="58"/>
      <c r="B349" s="8"/>
      <c r="C349" s="8"/>
      <c r="D349" s="8"/>
      <c r="E349" s="26"/>
      <c r="F349" s="35"/>
      <c r="G349" s="35"/>
      <c r="H349" s="35"/>
      <c r="I349" s="29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35">
      <c r="A350" s="58"/>
      <c r="B350" s="8"/>
      <c r="C350" s="8"/>
      <c r="D350" s="8"/>
      <c r="E350" s="26"/>
      <c r="F350" s="35"/>
      <c r="G350" s="35"/>
      <c r="H350" s="35"/>
      <c r="I350" s="29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x14ac:dyDescent="0.35">
      <c r="A351" s="58"/>
      <c r="B351" s="8"/>
      <c r="C351" s="8"/>
      <c r="D351" s="8"/>
      <c r="E351" s="26"/>
      <c r="F351" s="35"/>
      <c r="G351" s="35"/>
      <c r="H351" s="35"/>
      <c r="I351" s="29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35">
      <c r="A352" s="58"/>
      <c r="B352" s="8"/>
      <c r="C352" s="8"/>
      <c r="D352" s="8"/>
      <c r="E352" s="26"/>
      <c r="F352" s="35"/>
      <c r="G352" s="35"/>
      <c r="H352" s="35"/>
      <c r="I352" s="29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35">
      <c r="A353" s="58"/>
      <c r="B353" s="8"/>
      <c r="C353" s="8"/>
      <c r="D353" s="8"/>
      <c r="E353" s="26"/>
      <c r="F353" s="35"/>
      <c r="G353" s="35"/>
      <c r="H353" s="35"/>
      <c r="I353" s="29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35">
      <c r="A354" s="58"/>
      <c r="B354" s="8"/>
      <c r="C354" s="8"/>
      <c r="D354" s="8"/>
      <c r="E354" s="26"/>
      <c r="F354" s="35"/>
      <c r="G354" s="35"/>
      <c r="H354" s="35"/>
      <c r="I354" s="29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35">
      <c r="A355" s="58"/>
      <c r="B355" s="8"/>
      <c r="C355" s="8"/>
      <c r="D355" s="8"/>
      <c r="E355" s="26"/>
      <c r="F355" s="35"/>
      <c r="G355" s="35"/>
      <c r="H355" s="35"/>
      <c r="I355" s="29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35">
      <c r="A356" s="58"/>
      <c r="B356" s="8"/>
      <c r="C356" s="8"/>
      <c r="D356" s="8"/>
      <c r="E356" s="26"/>
      <c r="F356" s="35"/>
      <c r="G356" s="35"/>
      <c r="H356" s="35"/>
      <c r="I356" s="29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x14ac:dyDescent="0.35">
      <c r="A357" s="58"/>
      <c r="B357" s="8"/>
      <c r="C357" s="8"/>
      <c r="D357" s="8"/>
      <c r="E357" s="26"/>
      <c r="F357" s="35"/>
      <c r="G357" s="35"/>
      <c r="H357" s="35"/>
      <c r="I357" s="29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x14ac:dyDescent="0.35">
      <c r="A358" s="58"/>
      <c r="B358" s="8"/>
      <c r="C358" s="8"/>
      <c r="D358" s="8"/>
      <c r="E358" s="26"/>
      <c r="F358" s="35"/>
      <c r="G358" s="35"/>
      <c r="H358" s="35"/>
      <c r="I358" s="29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35">
      <c r="A359" s="58"/>
      <c r="B359" s="8"/>
      <c r="C359" s="8"/>
      <c r="D359" s="8"/>
      <c r="E359" s="26"/>
      <c r="F359" s="35"/>
      <c r="G359" s="35"/>
      <c r="H359" s="35"/>
      <c r="I359" s="29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35">
      <c r="A360" s="58"/>
      <c r="B360" s="8"/>
      <c r="C360" s="8"/>
      <c r="D360" s="8"/>
      <c r="E360" s="26"/>
      <c r="F360" s="35"/>
      <c r="G360" s="35"/>
      <c r="H360" s="35"/>
      <c r="I360" s="29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x14ac:dyDescent="0.35">
      <c r="A361" s="58"/>
      <c r="B361" s="8"/>
      <c r="C361" s="8"/>
      <c r="D361" s="8"/>
      <c r="E361" s="26"/>
      <c r="F361" s="35"/>
      <c r="G361" s="35"/>
      <c r="H361" s="35"/>
      <c r="I361" s="29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35">
      <c r="A362" s="58"/>
      <c r="B362" s="8"/>
      <c r="C362" s="8"/>
      <c r="D362" s="8"/>
      <c r="E362" s="26"/>
      <c r="F362" s="35"/>
      <c r="G362" s="35"/>
      <c r="H362" s="35"/>
      <c r="I362" s="29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35">
      <c r="A363" s="58"/>
      <c r="B363" s="8"/>
      <c r="C363" s="8"/>
      <c r="D363" s="8"/>
      <c r="E363" s="26"/>
      <c r="F363" s="35"/>
      <c r="G363" s="35"/>
      <c r="H363" s="35"/>
      <c r="I363" s="29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35">
      <c r="A364" s="58"/>
      <c r="B364" s="8"/>
      <c r="C364" s="8"/>
      <c r="D364" s="8"/>
      <c r="E364" s="26"/>
      <c r="F364" s="35"/>
      <c r="G364" s="35"/>
      <c r="H364" s="35"/>
      <c r="I364" s="29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x14ac:dyDescent="0.35">
      <c r="A365" s="58"/>
      <c r="B365" s="8"/>
      <c r="C365" s="8"/>
      <c r="D365" s="8"/>
      <c r="E365" s="26"/>
      <c r="F365" s="35"/>
      <c r="G365" s="35"/>
      <c r="H365" s="35"/>
      <c r="I365" s="29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35">
      <c r="A366" s="58"/>
      <c r="B366" s="8"/>
      <c r="C366" s="8"/>
      <c r="D366" s="8"/>
      <c r="E366" s="26"/>
      <c r="F366" s="35"/>
      <c r="G366" s="35"/>
      <c r="H366" s="35"/>
      <c r="I366" s="29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35">
      <c r="A367" s="58"/>
      <c r="B367" s="8"/>
      <c r="C367" s="8"/>
      <c r="D367" s="8"/>
      <c r="E367" s="26"/>
      <c r="F367" s="35"/>
      <c r="G367" s="35"/>
      <c r="H367" s="35"/>
      <c r="I367" s="29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35">
      <c r="A368" s="58"/>
      <c r="B368" s="8"/>
      <c r="C368" s="8"/>
      <c r="D368" s="8"/>
      <c r="E368" s="26"/>
      <c r="F368" s="35"/>
      <c r="G368" s="35"/>
      <c r="H368" s="35"/>
      <c r="I368" s="29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35">
      <c r="A369" s="58"/>
      <c r="B369" s="8"/>
      <c r="C369" s="8"/>
      <c r="D369" s="8"/>
      <c r="E369" s="26"/>
      <c r="F369" s="35"/>
      <c r="G369" s="35"/>
      <c r="H369" s="35"/>
      <c r="I369" s="29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35">
      <c r="A370" s="58"/>
      <c r="B370" s="8"/>
      <c r="C370" s="8"/>
      <c r="D370" s="8"/>
      <c r="E370" s="26"/>
      <c r="F370" s="35"/>
      <c r="G370" s="35"/>
      <c r="H370" s="35"/>
      <c r="I370" s="29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35">
      <c r="A371" s="58"/>
      <c r="B371" s="8"/>
      <c r="C371" s="8"/>
      <c r="D371" s="8"/>
      <c r="E371" s="26"/>
      <c r="F371" s="35"/>
      <c r="G371" s="35"/>
      <c r="H371" s="35"/>
      <c r="I371" s="29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35">
      <c r="A372" s="58"/>
      <c r="B372" s="8"/>
      <c r="C372" s="8"/>
      <c r="D372" s="8"/>
      <c r="E372" s="26"/>
      <c r="F372" s="35"/>
      <c r="G372" s="35"/>
      <c r="H372" s="35"/>
      <c r="I372" s="29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5">
      <c r="A373" s="58"/>
      <c r="B373" s="8"/>
      <c r="C373" s="8"/>
      <c r="D373" s="8"/>
      <c r="E373" s="26"/>
      <c r="F373" s="35"/>
      <c r="G373" s="35"/>
      <c r="H373" s="35"/>
      <c r="I373" s="29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35">
      <c r="A374" s="58"/>
      <c r="B374" s="8"/>
      <c r="C374" s="8"/>
      <c r="D374" s="8"/>
      <c r="E374" s="26"/>
      <c r="F374" s="35"/>
      <c r="G374" s="35"/>
      <c r="H374" s="35"/>
      <c r="I374" s="29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35">
      <c r="A375" s="58"/>
      <c r="B375" s="8"/>
      <c r="C375" s="8"/>
      <c r="D375" s="8"/>
      <c r="E375" s="26"/>
      <c r="F375" s="35"/>
      <c r="G375" s="35"/>
      <c r="H375" s="35"/>
      <c r="I375" s="29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35">
      <c r="A376" s="58"/>
      <c r="B376" s="8"/>
      <c r="C376" s="8"/>
      <c r="D376" s="8"/>
      <c r="E376" s="26"/>
      <c r="F376" s="35"/>
      <c r="G376" s="35"/>
      <c r="H376" s="35"/>
      <c r="I376" s="29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35">
      <c r="A377" s="58"/>
      <c r="B377" s="8"/>
      <c r="C377" s="8"/>
      <c r="D377" s="8"/>
      <c r="E377" s="26"/>
      <c r="F377" s="35"/>
      <c r="G377" s="35"/>
      <c r="H377" s="35"/>
      <c r="I377" s="29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x14ac:dyDescent="0.35">
      <c r="A378" s="58"/>
      <c r="B378" s="8"/>
      <c r="C378" s="8"/>
      <c r="D378" s="8"/>
      <c r="E378" s="26"/>
      <c r="F378" s="35"/>
      <c r="G378" s="35"/>
      <c r="H378" s="35"/>
      <c r="I378" s="29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35">
      <c r="A379" s="58"/>
      <c r="B379" s="8"/>
      <c r="C379" s="8"/>
      <c r="D379" s="8"/>
      <c r="E379" s="26"/>
      <c r="F379" s="35"/>
      <c r="G379" s="35"/>
      <c r="H379" s="35"/>
      <c r="I379" s="29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x14ac:dyDescent="0.35">
      <c r="A380" s="58"/>
      <c r="B380" s="8"/>
      <c r="C380" s="8"/>
      <c r="D380" s="8"/>
      <c r="E380" s="26"/>
      <c r="F380" s="35"/>
      <c r="G380" s="35"/>
      <c r="H380" s="35"/>
      <c r="I380" s="29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35">
      <c r="A381" s="58"/>
      <c r="B381" s="8"/>
      <c r="C381" s="8"/>
      <c r="D381" s="8"/>
      <c r="E381" s="26"/>
      <c r="F381" s="35"/>
      <c r="G381" s="35"/>
      <c r="H381" s="35"/>
      <c r="I381" s="29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35">
      <c r="A382" s="58"/>
      <c r="B382" s="8"/>
      <c r="C382" s="8"/>
      <c r="D382" s="8"/>
      <c r="E382" s="26"/>
      <c r="F382" s="35"/>
      <c r="G382" s="35"/>
      <c r="H382" s="35"/>
      <c r="I382" s="29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35">
      <c r="A383" s="58"/>
      <c r="B383" s="8"/>
      <c r="C383" s="8"/>
      <c r="D383" s="8"/>
      <c r="E383" s="26"/>
      <c r="F383" s="35"/>
      <c r="G383" s="35"/>
      <c r="H383" s="35"/>
      <c r="I383" s="29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35">
      <c r="A384" s="58"/>
      <c r="B384" s="8"/>
      <c r="C384" s="8"/>
      <c r="D384" s="8"/>
      <c r="E384" s="26"/>
      <c r="F384" s="35"/>
      <c r="G384" s="35"/>
      <c r="H384" s="35"/>
      <c r="I384" s="29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x14ac:dyDescent="0.35">
      <c r="A385" s="58"/>
      <c r="B385" s="8"/>
      <c r="C385" s="8"/>
      <c r="D385" s="8"/>
      <c r="E385" s="26"/>
      <c r="F385" s="35"/>
      <c r="G385" s="35"/>
      <c r="H385" s="35"/>
      <c r="I385" s="29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5">
      <c r="A386" s="58"/>
      <c r="B386" s="8"/>
      <c r="C386" s="8"/>
      <c r="D386" s="8"/>
      <c r="E386" s="26"/>
      <c r="F386" s="35"/>
      <c r="G386" s="35"/>
      <c r="H386" s="35"/>
      <c r="I386" s="29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35">
      <c r="A387" s="58"/>
      <c r="B387" s="8"/>
      <c r="C387" s="8"/>
      <c r="D387" s="8"/>
      <c r="E387" s="26"/>
      <c r="F387" s="35"/>
      <c r="G387" s="35"/>
      <c r="H387" s="35"/>
      <c r="I387" s="29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35">
      <c r="A388" s="58"/>
      <c r="B388" s="8"/>
      <c r="C388" s="8"/>
      <c r="D388" s="8"/>
      <c r="E388" s="26"/>
      <c r="F388" s="35"/>
      <c r="G388" s="35"/>
      <c r="H388" s="35"/>
      <c r="I388" s="29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x14ac:dyDescent="0.35">
      <c r="A389" s="58"/>
      <c r="B389" s="8"/>
      <c r="C389" s="8"/>
      <c r="D389" s="8"/>
      <c r="E389" s="26"/>
      <c r="F389" s="35"/>
      <c r="G389" s="35"/>
      <c r="H389" s="35"/>
      <c r="I389" s="29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x14ac:dyDescent="0.35">
      <c r="A390" s="58"/>
      <c r="B390" s="8"/>
      <c r="C390" s="8"/>
      <c r="D390" s="8"/>
      <c r="E390" s="26"/>
      <c r="F390" s="35"/>
      <c r="G390" s="35"/>
      <c r="H390" s="35"/>
      <c r="I390" s="29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x14ac:dyDescent="0.35">
      <c r="A391" s="58"/>
      <c r="B391" s="8"/>
      <c r="C391" s="8"/>
      <c r="D391" s="8"/>
      <c r="E391" s="26"/>
      <c r="F391" s="35"/>
      <c r="G391" s="35"/>
      <c r="H391" s="35"/>
      <c r="I391" s="29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5">
      <c r="A392" s="58"/>
      <c r="B392" s="8"/>
      <c r="C392" s="8"/>
      <c r="D392" s="8"/>
      <c r="E392" s="26"/>
      <c r="F392" s="35"/>
      <c r="G392" s="35"/>
      <c r="H392" s="35"/>
      <c r="I392" s="29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x14ac:dyDescent="0.35">
      <c r="A393" s="58"/>
      <c r="B393" s="8"/>
      <c r="C393" s="8"/>
      <c r="D393" s="8"/>
      <c r="E393" s="26"/>
      <c r="F393" s="35"/>
      <c r="G393" s="35"/>
      <c r="H393" s="35"/>
      <c r="I393" s="29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x14ac:dyDescent="0.35">
      <c r="A394" s="58"/>
      <c r="B394" s="8"/>
      <c r="C394" s="8"/>
      <c r="D394" s="8"/>
      <c r="E394" s="26"/>
      <c r="F394" s="35"/>
      <c r="G394" s="35"/>
      <c r="H394" s="35"/>
      <c r="I394" s="29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x14ac:dyDescent="0.35">
      <c r="A395" s="58"/>
      <c r="B395" s="8"/>
      <c r="C395" s="8"/>
      <c r="D395" s="8"/>
      <c r="E395" s="26"/>
      <c r="F395" s="35"/>
      <c r="G395" s="35"/>
      <c r="H395" s="35"/>
      <c r="I395" s="29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x14ac:dyDescent="0.35">
      <c r="A396" s="58"/>
      <c r="B396" s="8"/>
      <c r="C396" s="8"/>
      <c r="D396" s="8"/>
      <c r="E396" s="26"/>
      <c r="F396" s="35"/>
      <c r="G396" s="35"/>
      <c r="H396" s="35"/>
      <c r="I396" s="29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x14ac:dyDescent="0.35">
      <c r="A397" s="58"/>
      <c r="B397" s="8"/>
      <c r="C397" s="8"/>
      <c r="D397" s="8"/>
      <c r="E397" s="26"/>
      <c r="F397" s="35"/>
      <c r="G397" s="35"/>
      <c r="H397" s="35"/>
      <c r="I397" s="29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x14ac:dyDescent="0.35">
      <c r="A398" s="58"/>
      <c r="B398" s="8"/>
      <c r="C398" s="8"/>
      <c r="D398" s="8"/>
      <c r="E398" s="26"/>
      <c r="F398" s="35"/>
      <c r="G398" s="35"/>
      <c r="H398" s="35"/>
      <c r="I398" s="29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x14ac:dyDescent="0.35">
      <c r="A399" s="58"/>
      <c r="B399" s="8"/>
      <c r="C399" s="8"/>
      <c r="D399" s="8"/>
      <c r="E399" s="26"/>
      <c r="F399" s="35"/>
      <c r="G399" s="35"/>
      <c r="H399" s="35"/>
      <c r="I399" s="29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x14ac:dyDescent="0.35">
      <c r="A400" s="58"/>
      <c r="B400" s="8"/>
      <c r="C400" s="8"/>
      <c r="D400" s="8"/>
      <c r="E400" s="26"/>
      <c r="F400" s="35"/>
      <c r="G400" s="35"/>
      <c r="H400" s="35"/>
      <c r="I400" s="29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x14ac:dyDescent="0.35">
      <c r="A401" s="58"/>
      <c r="B401" s="8"/>
      <c r="C401" s="8"/>
      <c r="D401" s="8"/>
      <c r="E401" s="26"/>
      <c r="F401" s="35"/>
      <c r="G401" s="35"/>
      <c r="H401" s="35"/>
      <c r="I401" s="29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5">
      <c r="A402" s="58"/>
      <c r="B402" s="8"/>
      <c r="C402" s="8"/>
      <c r="D402" s="8"/>
      <c r="E402" s="26"/>
      <c r="F402" s="35"/>
      <c r="G402" s="35"/>
      <c r="H402" s="35"/>
      <c r="I402" s="29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x14ac:dyDescent="0.35">
      <c r="A403" s="58"/>
      <c r="B403" s="8"/>
      <c r="C403" s="8"/>
      <c r="D403" s="8"/>
      <c r="E403" s="26"/>
      <c r="F403" s="35"/>
      <c r="G403" s="35"/>
      <c r="H403" s="35"/>
      <c r="I403" s="29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35">
      <c r="A404" s="58"/>
      <c r="B404" s="8"/>
      <c r="C404" s="8"/>
      <c r="D404" s="8"/>
      <c r="E404" s="26"/>
      <c r="F404" s="35"/>
      <c r="G404" s="35"/>
      <c r="H404" s="35"/>
      <c r="I404" s="29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5">
      <c r="A405" s="58"/>
      <c r="B405" s="8"/>
      <c r="C405" s="8"/>
      <c r="D405" s="8"/>
      <c r="E405" s="26"/>
      <c r="F405" s="35"/>
      <c r="G405" s="35"/>
      <c r="H405" s="35"/>
      <c r="I405" s="29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x14ac:dyDescent="0.35">
      <c r="A406" s="58"/>
      <c r="B406" s="8"/>
      <c r="C406" s="8"/>
      <c r="D406" s="8"/>
      <c r="E406" s="26"/>
      <c r="F406" s="35"/>
      <c r="G406" s="35"/>
      <c r="H406" s="35"/>
      <c r="I406" s="29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35">
      <c r="A407" s="58"/>
      <c r="B407" s="8"/>
      <c r="C407" s="8"/>
      <c r="D407" s="8"/>
      <c r="E407" s="26"/>
      <c r="F407" s="35"/>
      <c r="G407" s="35"/>
      <c r="H407" s="35"/>
      <c r="I407" s="29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5">
      <c r="A408" s="58"/>
      <c r="B408" s="8"/>
      <c r="C408" s="8"/>
      <c r="D408" s="8"/>
      <c r="E408" s="26"/>
      <c r="F408" s="35"/>
      <c r="G408" s="35"/>
      <c r="H408" s="35"/>
      <c r="I408" s="29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x14ac:dyDescent="0.35">
      <c r="A409" s="58"/>
      <c r="B409" s="8"/>
      <c r="C409" s="8"/>
      <c r="D409" s="8"/>
      <c r="E409" s="26"/>
      <c r="F409" s="35"/>
      <c r="G409" s="35"/>
      <c r="H409" s="35"/>
      <c r="I409" s="29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35">
      <c r="A410" s="58"/>
      <c r="B410" s="8"/>
      <c r="C410" s="8"/>
      <c r="D410" s="8"/>
      <c r="E410" s="26"/>
      <c r="F410" s="35"/>
      <c r="G410" s="35"/>
      <c r="H410" s="35"/>
      <c r="I410" s="29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5">
      <c r="A411" s="58"/>
      <c r="B411" s="8"/>
      <c r="C411" s="8"/>
      <c r="D411" s="8"/>
      <c r="E411" s="26"/>
      <c r="F411" s="35"/>
      <c r="G411" s="35"/>
      <c r="H411" s="35"/>
      <c r="I411" s="29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x14ac:dyDescent="0.35">
      <c r="A412" s="58"/>
      <c r="B412" s="8"/>
      <c r="C412" s="8"/>
      <c r="D412" s="8"/>
      <c r="E412" s="26"/>
      <c r="F412" s="35"/>
      <c r="G412" s="35"/>
      <c r="H412" s="35"/>
      <c r="I412" s="29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35">
      <c r="A413" s="58"/>
      <c r="B413" s="8"/>
      <c r="C413" s="8"/>
      <c r="D413" s="8"/>
      <c r="E413" s="26"/>
      <c r="F413" s="35"/>
      <c r="G413" s="35"/>
      <c r="H413" s="35"/>
      <c r="I413" s="29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x14ac:dyDescent="0.35">
      <c r="A414" s="58"/>
      <c r="B414" s="8"/>
      <c r="C414" s="8"/>
      <c r="D414" s="8"/>
      <c r="E414" s="26"/>
      <c r="F414" s="35"/>
      <c r="G414" s="35"/>
      <c r="H414" s="35"/>
      <c r="I414" s="29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x14ac:dyDescent="0.35">
      <c r="A415" s="58"/>
      <c r="B415" s="8"/>
      <c r="C415" s="8"/>
      <c r="D415" s="8"/>
      <c r="E415" s="26"/>
      <c r="F415" s="35"/>
      <c r="G415" s="35"/>
      <c r="H415" s="35"/>
      <c r="I415" s="29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x14ac:dyDescent="0.35">
      <c r="A416" s="58"/>
      <c r="B416" s="8"/>
      <c r="C416" s="8"/>
      <c r="D416" s="8"/>
      <c r="E416" s="26"/>
      <c r="F416" s="35"/>
      <c r="G416" s="35"/>
      <c r="H416" s="35"/>
      <c r="I416" s="29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x14ac:dyDescent="0.35">
      <c r="A417" s="58"/>
      <c r="B417" s="8"/>
      <c r="C417" s="8"/>
      <c r="D417" s="8"/>
      <c r="E417" s="26"/>
      <c r="F417" s="35"/>
      <c r="G417" s="35"/>
      <c r="H417" s="35"/>
      <c r="I417" s="29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x14ac:dyDescent="0.35">
      <c r="A418" s="58"/>
      <c r="B418" s="8"/>
      <c r="C418" s="8"/>
      <c r="D418" s="8"/>
      <c r="E418" s="26"/>
      <c r="F418" s="35"/>
      <c r="G418" s="35"/>
      <c r="H418" s="35"/>
      <c r="I418" s="29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x14ac:dyDescent="0.35">
      <c r="A419" s="58"/>
      <c r="B419" s="8"/>
      <c r="C419" s="8"/>
      <c r="D419" s="8"/>
      <c r="E419" s="26"/>
      <c r="F419" s="35"/>
      <c r="G419" s="35"/>
      <c r="H419" s="35"/>
      <c r="I419" s="29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x14ac:dyDescent="0.35">
      <c r="A420" s="58"/>
      <c r="B420" s="8"/>
      <c r="C420" s="8"/>
      <c r="D420" s="8"/>
      <c r="E420" s="26"/>
      <c r="F420" s="35"/>
      <c r="G420" s="35"/>
      <c r="H420" s="35"/>
      <c r="I420" s="29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x14ac:dyDescent="0.35">
      <c r="A421" s="58"/>
      <c r="B421" s="8"/>
      <c r="C421" s="8"/>
      <c r="D421" s="8"/>
      <c r="E421" s="26"/>
      <c r="F421" s="35"/>
      <c r="G421" s="35"/>
      <c r="H421" s="35"/>
      <c r="I421" s="29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5">
      <c r="A422" s="58"/>
      <c r="B422" s="8"/>
      <c r="C422" s="8"/>
      <c r="D422" s="8"/>
      <c r="E422" s="26"/>
      <c r="F422" s="35"/>
      <c r="G422" s="35"/>
      <c r="H422" s="35"/>
      <c r="I422" s="29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35">
      <c r="A423" s="58"/>
      <c r="B423" s="8"/>
      <c r="C423" s="8"/>
      <c r="D423" s="8"/>
      <c r="E423" s="26"/>
      <c r="F423" s="35"/>
      <c r="G423" s="35"/>
      <c r="H423" s="35"/>
      <c r="I423" s="29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x14ac:dyDescent="0.35">
      <c r="A424" s="58"/>
      <c r="B424" s="8"/>
      <c r="C424" s="8"/>
      <c r="D424" s="8"/>
      <c r="E424" s="26"/>
      <c r="F424" s="35"/>
      <c r="G424" s="35"/>
      <c r="H424" s="35"/>
      <c r="I424" s="29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x14ac:dyDescent="0.35">
      <c r="A425" s="58"/>
      <c r="B425" s="8"/>
      <c r="C425" s="8"/>
      <c r="D425" s="8"/>
      <c r="E425" s="26"/>
      <c r="F425" s="35"/>
      <c r="G425" s="35"/>
      <c r="H425" s="35"/>
      <c r="I425" s="29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x14ac:dyDescent="0.35">
      <c r="A426" s="58"/>
      <c r="B426" s="8"/>
      <c r="C426" s="8"/>
      <c r="D426" s="8"/>
      <c r="E426" s="26"/>
      <c r="F426" s="35"/>
      <c r="G426" s="35"/>
      <c r="H426" s="35"/>
      <c r="I426" s="29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35">
      <c r="A427" s="58"/>
      <c r="B427" s="8"/>
      <c r="C427" s="8"/>
      <c r="D427" s="8"/>
      <c r="E427" s="26"/>
      <c r="F427" s="35"/>
      <c r="G427" s="35"/>
      <c r="H427" s="35"/>
      <c r="I427" s="29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x14ac:dyDescent="0.35">
      <c r="A428" s="58"/>
      <c r="B428" s="8"/>
      <c r="C428" s="8"/>
      <c r="D428" s="8"/>
      <c r="E428" s="26"/>
      <c r="F428" s="35"/>
      <c r="G428" s="35"/>
      <c r="H428" s="35"/>
      <c r="I428" s="29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x14ac:dyDescent="0.35">
      <c r="A429" s="58"/>
      <c r="B429" s="8"/>
      <c r="C429" s="8"/>
      <c r="D429" s="8"/>
      <c r="E429" s="26"/>
      <c r="F429" s="35"/>
      <c r="G429" s="35"/>
      <c r="H429" s="35"/>
      <c r="I429" s="29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x14ac:dyDescent="0.35">
      <c r="A430" s="58"/>
      <c r="B430" s="8"/>
      <c r="C430" s="8"/>
      <c r="D430" s="8"/>
      <c r="E430" s="26"/>
      <c r="F430" s="35"/>
      <c r="G430" s="35"/>
      <c r="H430" s="35"/>
      <c r="I430" s="29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x14ac:dyDescent="0.35">
      <c r="A431" s="58"/>
      <c r="B431" s="8"/>
      <c r="C431" s="8"/>
      <c r="D431" s="8"/>
      <c r="E431" s="26"/>
      <c r="F431" s="35"/>
      <c r="G431" s="35"/>
      <c r="H431" s="35"/>
      <c r="I431" s="29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x14ac:dyDescent="0.35">
      <c r="A432" s="58"/>
      <c r="B432" s="8"/>
      <c r="C432" s="8"/>
      <c r="D432" s="8"/>
      <c r="E432" s="26"/>
      <c r="F432" s="35"/>
      <c r="G432" s="35"/>
      <c r="H432" s="35"/>
      <c r="I432" s="29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35">
      <c r="A433" s="58"/>
      <c r="B433" s="8"/>
      <c r="C433" s="8"/>
      <c r="D433" s="8"/>
      <c r="E433" s="26"/>
      <c r="F433" s="35"/>
      <c r="G433" s="35"/>
      <c r="H433" s="35"/>
      <c r="I433" s="29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x14ac:dyDescent="0.35">
      <c r="A434" s="58"/>
      <c r="B434" s="8"/>
      <c r="C434" s="8"/>
      <c r="D434" s="8"/>
      <c r="E434" s="26"/>
      <c r="F434" s="35"/>
      <c r="G434" s="35"/>
      <c r="H434" s="35"/>
      <c r="I434" s="29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x14ac:dyDescent="0.35">
      <c r="A435" s="58"/>
      <c r="B435" s="8"/>
      <c r="C435" s="8"/>
      <c r="D435" s="8"/>
      <c r="E435" s="26"/>
      <c r="F435" s="35"/>
      <c r="G435" s="35"/>
      <c r="H435" s="35"/>
      <c r="I435" s="29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x14ac:dyDescent="0.35">
      <c r="A436" s="58"/>
      <c r="B436" s="8"/>
      <c r="C436" s="8"/>
      <c r="D436" s="8"/>
      <c r="E436" s="26"/>
      <c r="F436" s="35"/>
      <c r="G436" s="35"/>
      <c r="H436" s="35"/>
      <c r="I436" s="29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x14ac:dyDescent="0.35">
      <c r="A437" s="58"/>
      <c r="B437" s="8"/>
      <c r="C437" s="8"/>
      <c r="D437" s="8"/>
      <c r="E437" s="26"/>
      <c r="F437" s="35"/>
      <c r="G437" s="35"/>
      <c r="H437" s="35"/>
      <c r="I437" s="29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x14ac:dyDescent="0.35">
      <c r="A438" s="58"/>
      <c r="B438" s="8"/>
      <c r="C438" s="8"/>
      <c r="D438" s="8"/>
      <c r="E438" s="26"/>
      <c r="F438" s="35"/>
      <c r="G438" s="35"/>
      <c r="H438" s="35"/>
      <c r="I438" s="29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x14ac:dyDescent="0.35">
      <c r="A439" s="58"/>
      <c r="B439" s="8"/>
      <c r="C439" s="8"/>
      <c r="D439" s="8"/>
      <c r="E439" s="26"/>
      <c r="F439" s="35"/>
      <c r="G439" s="35"/>
      <c r="H439" s="35"/>
      <c r="I439" s="29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5">
      <c r="A440" s="58"/>
      <c r="B440" s="8"/>
      <c r="C440" s="8"/>
      <c r="D440" s="8"/>
      <c r="E440" s="26"/>
      <c r="F440" s="35"/>
      <c r="G440" s="35"/>
      <c r="H440" s="35"/>
      <c r="I440" s="29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35">
      <c r="A441" s="58"/>
      <c r="B441" s="8"/>
      <c r="C441" s="8"/>
      <c r="D441" s="8"/>
      <c r="E441" s="26"/>
      <c r="F441" s="35"/>
      <c r="G441" s="35"/>
      <c r="H441" s="35"/>
      <c r="I441" s="29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35">
      <c r="A442" s="58"/>
      <c r="B442" s="8"/>
      <c r="C442" s="8"/>
      <c r="D442" s="8"/>
      <c r="E442" s="26"/>
      <c r="F442" s="35"/>
      <c r="G442" s="35"/>
      <c r="H442" s="35"/>
      <c r="I442" s="29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35">
      <c r="A443" s="58"/>
      <c r="B443" s="8"/>
      <c r="C443" s="8"/>
      <c r="D443" s="8"/>
      <c r="E443" s="26"/>
      <c r="F443" s="35"/>
      <c r="G443" s="35"/>
      <c r="H443" s="35"/>
      <c r="I443" s="29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x14ac:dyDescent="0.35">
      <c r="A444" s="58"/>
      <c r="B444" s="8"/>
      <c r="C444" s="8"/>
      <c r="D444" s="8"/>
      <c r="E444" s="26"/>
      <c r="F444" s="35"/>
      <c r="G444" s="35"/>
      <c r="H444" s="35"/>
      <c r="I444" s="29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x14ac:dyDescent="0.35">
      <c r="A445" s="58"/>
      <c r="B445" s="8"/>
      <c r="C445" s="8"/>
      <c r="D445" s="8"/>
      <c r="E445" s="26"/>
      <c r="F445" s="35"/>
      <c r="G445" s="35"/>
      <c r="H445" s="35"/>
      <c r="I445" s="29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x14ac:dyDescent="0.35">
      <c r="A446" s="58"/>
      <c r="B446" s="8"/>
      <c r="C446" s="8"/>
      <c r="D446" s="8"/>
      <c r="E446" s="26"/>
      <c r="F446" s="35"/>
      <c r="G446" s="35"/>
      <c r="H446" s="35"/>
      <c r="I446" s="29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x14ac:dyDescent="0.35">
      <c r="A447" s="58"/>
      <c r="B447" s="8"/>
      <c r="C447" s="8"/>
      <c r="D447" s="8"/>
      <c r="E447" s="26"/>
      <c r="F447" s="35"/>
      <c r="G447" s="35"/>
      <c r="H447" s="35"/>
      <c r="I447" s="29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x14ac:dyDescent="0.35">
      <c r="A448" s="58"/>
      <c r="B448" s="8"/>
      <c r="C448" s="8"/>
      <c r="D448" s="8"/>
      <c r="E448" s="26"/>
      <c r="F448" s="35"/>
      <c r="G448" s="35"/>
      <c r="H448" s="35"/>
      <c r="I448" s="29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x14ac:dyDescent="0.35">
      <c r="A449" s="58"/>
      <c r="B449" s="8"/>
      <c r="C449" s="8"/>
      <c r="D449" s="8"/>
      <c r="E449" s="26"/>
      <c r="F449" s="35"/>
      <c r="G449" s="35"/>
      <c r="H449" s="35"/>
      <c r="I449" s="29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x14ac:dyDescent="0.35">
      <c r="A450" s="58"/>
      <c r="B450" s="8"/>
      <c r="C450" s="8"/>
      <c r="D450" s="8"/>
      <c r="E450" s="26"/>
      <c r="F450" s="35"/>
      <c r="G450" s="35"/>
      <c r="H450" s="35"/>
      <c r="I450" s="29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x14ac:dyDescent="0.35">
      <c r="A451" s="58"/>
      <c r="B451" s="8"/>
      <c r="C451" s="8"/>
      <c r="D451" s="8"/>
      <c r="E451" s="26"/>
      <c r="F451" s="35"/>
      <c r="G451" s="35"/>
      <c r="H451" s="35"/>
      <c r="I451" s="29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x14ac:dyDescent="0.35">
      <c r="A452" s="58"/>
      <c r="B452" s="8"/>
      <c r="C452" s="8"/>
      <c r="D452" s="8"/>
      <c r="E452" s="26"/>
      <c r="F452" s="35"/>
      <c r="G452" s="35"/>
      <c r="H452" s="35"/>
      <c r="I452" s="29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x14ac:dyDescent="0.35">
      <c r="A453" s="58"/>
      <c r="B453" s="8"/>
      <c r="C453" s="8"/>
      <c r="D453" s="8"/>
      <c r="E453" s="26"/>
      <c r="F453" s="35"/>
      <c r="G453" s="35"/>
      <c r="H453" s="35"/>
      <c r="I453" s="29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x14ac:dyDescent="0.35">
      <c r="A454" s="58"/>
      <c r="B454" s="8"/>
      <c r="C454" s="8"/>
      <c r="D454" s="8"/>
      <c r="E454" s="26"/>
      <c r="F454" s="35"/>
      <c r="G454" s="35"/>
      <c r="H454" s="35"/>
      <c r="I454" s="29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x14ac:dyDescent="0.35">
      <c r="A455" s="58"/>
      <c r="B455" s="8"/>
      <c r="C455" s="8"/>
      <c r="D455" s="8"/>
      <c r="E455" s="26"/>
      <c r="F455" s="35"/>
      <c r="G455" s="35"/>
      <c r="H455" s="35"/>
      <c r="I455" s="29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x14ac:dyDescent="0.35">
      <c r="A456" s="58"/>
      <c r="B456" s="8"/>
      <c r="C456" s="8"/>
      <c r="D456" s="8"/>
      <c r="E456" s="26"/>
      <c r="F456" s="35"/>
      <c r="G456" s="35"/>
      <c r="H456" s="35"/>
      <c r="I456" s="29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x14ac:dyDescent="0.35">
      <c r="A457" s="58"/>
      <c r="B457" s="8"/>
      <c r="C457" s="8"/>
      <c r="D457" s="8"/>
      <c r="E457" s="26"/>
      <c r="F457" s="35"/>
      <c r="G457" s="35"/>
      <c r="H457" s="35"/>
      <c r="I457" s="29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x14ac:dyDescent="0.35">
      <c r="A458" s="58"/>
      <c r="B458" s="8"/>
      <c r="C458" s="8"/>
      <c r="D458" s="8"/>
      <c r="E458" s="26"/>
      <c r="F458" s="35"/>
      <c r="G458" s="35"/>
      <c r="H458" s="35"/>
      <c r="I458" s="29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35">
      <c r="A459" s="58"/>
      <c r="B459" s="8"/>
      <c r="C459" s="8"/>
      <c r="D459" s="8"/>
      <c r="E459" s="26"/>
      <c r="F459" s="35"/>
      <c r="G459" s="35"/>
      <c r="H459" s="35"/>
      <c r="I459" s="29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x14ac:dyDescent="0.35">
      <c r="A460" s="58"/>
      <c r="B460" s="8"/>
      <c r="C460" s="8"/>
      <c r="D460" s="8"/>
      <c r="E460" s="26"/>
      <c r="F460" s="35"/>
      <c r="G460" s="35"/>
      <c r="H460" s="35"/>
      <c r="I460" s="29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x14ac:dyDescent="0.35">
      <c r="A461" s="58"/>
      <c r="B461" s="8"/>
      <c r="C461" s="8"/>
      <c r="D461" s="8"/>
      <c r="E461" s="26"/>
      <c r="F461" s="35"/>
      <c r="G461" s="35"/>
      <c r="H461" s="35"/>
      <c r="I461" s="29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x14ac:dyDescent="0.35">
      <c r="A462" s="58"/>
      <c r="B462" s="8"/>
      <c r="C462" s="8"/>
      <c r="D462" s="8"/>
      <c r="E462" s="26"/>
      <c r="F462" s="35"/>
      <c r="G462" s="35"/>
      <c r="H462" s="35"/>
      <c r="I462" s="29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x14ac:dyDescent="0.35">
      <c r="A463" s="58"/>
      <c r="B463" s="8"/>
      <c r="C463" s="8"/>
      <c r="D463" s="8"/>
      <c r="E463" s="26"/>
      <c r="F463" s="35"/>
      <c r="G463" s="35"/>
      <c r="H463" s="35"/>
      <c r="I463" s="29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x14ac:dyDescent="0.35">
      <c r="A464" s="58"/>
      <c r="B464" s="8"/>
      <c r="C464" s="8"/>
      <c r="D464" s="8"/>
      <c r="E464" s="26"/>
      <c r="F464" s="35"/>
      <c r="G464" s="35"/>
      <c r="H464" s="35"/>
      <c r="I464" s="29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x14ac:dyDescent="0.35">
      <c r="A465" s="58"/>
      <c r="B465" s="8"/>
      <c r="C465" s="8"/>
      <c r="D465" s="8"/>
      <c r="E465" s="26"/>
      <c r="F465" s="35"/>
      <c r="G465" s="35"/>
      <c r="H465" s="35"/>
      <c r="I465" s="29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x14ac:dyDescent="0.35">
      <c r="A466" s="58"/>
      <c r="B466" s="8"/>
      <c r="C466" s="8"/>
      <c r="D466" s="8"/>
      <c r="E466" s="26"/>
      <c r="F466" s="35"/>
      <c r="G466" s="35"/>
      <c r="H466" s="35"/>
      <c r="I466" s="29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35">
      <c r="A467" s="58"/>
      <c r="B467" s="8"/>
      <c r="C467" s="8"/>
      <c r="D467" s="8"/>
      <c r="E467" s="26"/>
      <c r="F467" s="35"/>
      <c r="G467" s="35"/>
      <c r="H467" s="35"/>
      <c r="I467" s="29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x14ac:dyDescent="0.35">
      <c r="A468" s="58"/>
      <c r="B468" s="8"/>
      <c r="C468" s="8"/>
      <c r="D468" s="8"/>
      <c r="E468" s="26"/>
      <c r="F468" s="35"/>
      <c r="G468" s="35"/>
      <c r="H468" s="35"/>
      <c r="I468" s="29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x14ac:dyDescent="0.35">
      <c r="A469" s="58"/>
      <c r="B469" s="8"/>
      <c r="C469" s="8"/>
      <c r="D469" s="8"/>
      <c r="E469" s="26"/>
      <c r="F469" s="35"/>
      <c r="G469" s="35"/>
      <c r="H469" s="35"/>
      <c r="I469" s="29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35">
      <c r="A470" s="58"/>
      <c r="B470" s="8"/>
      <c r="C470" s="8"/>
      <c r="D470" s="8"/>
      <c r="E470" s="26"/>
      <c r="F470" s="35"/>
      <c r="G470" s="35"/>
      <c r="H470" s="35"/>
      <c r="I470" s="29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35">
      <c r="A471" s="58"/>
      <c r="B471" s="8"/>
      <c r="C471" s="8"/>
      <c r="D471" s="8"/>
      <c r="E471" s="26"/>
      <c r="F471" s="35"/>
      <c r="G471" s="35"/>
      <c r="H471" s="35"/>
      <c r="I471" s="29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5">
      <c r="A472" s="58"/>
      <c r="B472" s="8"/>
      <c r="C472" s="8"/>
      <c r="D472" s="8"/>
      <c r="E472" s="26"/>
      <c r="F472" s="35"/>
      <c r="G472" s="35"/>
      <c r="H472" s="35"/>
      <c r="I472" s="29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x14ac:dyDescent="0.35">
      <c r="A473" s="58"/>
      <c r="B473" s="8"/>
      <c r="C473" s="8"/>
      <c r="D473" s="8"/>
      <c r="E473" s="26"/>
      <c r="F473" s="35"/>
      <c r="G473" s="35"/>
      <c r="H473" s="35"/>
      <c r="I473" s="29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x14ac:dyDescent="0.35">
      <c r="A474" s="58"/>
      <c r="B474" s="8"/>
      <c r="C474" s="8"/>
      <c r="D474" s="8"/>
      <c r="E474" s="26"/>
      <c r="F474" s="35"/>
      <c r="G474" s="35"/>
      <c r="H474" s="35"/>
      <c r="I474" s="29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x14ac:dyDescent="0.35">
      <c r="A475" s="58"/>
      <c r="B475" s="8"/>
      <c r="C475" s="8"/>
      <c r="D475" s="8"/>
      <c r="E475" s="26"/>
      <c r="F475" s="35"/>
      <c r="G475" s="35"/>
      <c r="H475" s="35"/>
      <c r="I475" s="29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x14ac:dyDescent="0.35">
      <c r="A476" s="58"/>
      <c r="B476" s="8"/>
      <c r="C476" s="8"/>
      <c r="D476" s="8"/>
      <c r="E476" s="26"/>
      <c r="F476" s="35"/>
      <c r="G476" s="35"/>
      <c r="H476" s="35"/>
      <c r="I476" s="29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x14ac:dyDescent="0.35">
      <c r="A477" s="58"/>
      <c r="B477" s="8"/>
      <c r="C477" s="8"/>
      <c r="D477" s="8"/>
      <c r="E477" s="26"/>
      <c r="F477" s="35"/>
      <c r="G477" s="35"/>
      <c r="H477" s="35"/>
      <c r="I477" s="29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35">
      <c r="A478" s="58"/>
      <c r="B478" s="8"/>
      <c r="C478" s="8"/>
      <c r="D478" s="8"/>
      <c r="E478" s="26"/>
      <c r="F478" s="35"/>
      <c r="G478" s="35"/>
      <c r="H478" s="35"/>
      <c r="I478" s="29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35">
      <c r="A479" s="58"/>
      <c r="B479" s="8"/>
      <c r="C479" s="8"/>
      <c r="D479" s="8"/>
      <c r="E479" s="26"/>
      <c r="F479" s="35"/>
      <c r="G479" s="35"/>
      <c r="H479" s="35"/>
      <c r="I479" s="29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x14ac:dyDescent="0.35">
      <c r="A480" s="58"/>
      <c r="B480" s="8"/>
      <c r="C480" s="8"/>
      <c r="D480" s="8"/>
      <c r="E480" s="26"/>
      <c r="F480" s="35"/>
      <c r="G480" s="35"/>
      <c r="H480" s="35"/>
      <c r="I480" s="29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x14ac:dyDescent="0.35">
      <c r="A481" s="58"/>
      <c r="B481" s="8"/>
      <c r="C481" s="8"/>
      <c r="D481" s="8"/>
      <c r="E481" s="26"/>
      <c r="F481" s="35"/>
      <c r="G481" s="35"/>
      <c r="H481" s="35"/>
      <c r="I481" s="29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x14ac:dyDescent="0.35">
      <c r="A482" s="58"/>
      <c r="B482" s="8"/>
      <c r="C482" s="8"/>
      <c r="D482" s="8"/>
      <c r="E482" s="26"/>
      <c r="F482" s="35"/>
      <c r="G482" s="35"/>
      <c r="H482" s="35"/>
      <c r="I482" s="29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35">
      <c r="A483" s="58"/>
      <c r="B483" s="8"/>
      <c r="C483" s="8"/>
      <c r="D483" s="8"/>
      <c r="E483" s="26"/>
      <c r="F483" s="35"/>
      <c r="G483" s="35"/>
      <c r="H483" s="35"/>
      <c r="I483" s="29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x14ac:dyDescent="0.35">
      <c r="A484" s="58"/>
      <c r="B484" s="8"/>
      <c r="C484" s="8"/>
      <c r="D484" s="8"/>
      <c r="E484" s="26"/>
      <c r="F484" s="35"/>
      <c r="G484" s="35"/>
      <c r="H484" s="35"/>
      <c r="I484" s="29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x14ac:dyDescent="0.35">
      <c r="A485" s="58"/>
      <c r="B485" s="8"/>
      <c r="C485" s="8"/>
      <c r="D485" s="8"/>
      <c r="E485" s="26"/>
      <c r="F485" s="35"/>
      <c r="G485" s="35"/>
      <c r="H485" s="35"/>
      <c r="I485" s="29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5">
      <c r="A486" s="58"/>
      <c r="B486" s="8"/>
      <c r="C486" s="8"/>
      <c r="D486" s="8"/>
      <c r="E486" s="26"/>
      <c r="F486" s="35"/>
      <c r="G486" s="35"/>
      <c r="H486" s="35"/>
      <c r="I486" s="29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x14ac:dyDescent="0.35">
      <c r="A487" s="58"/>
      <c r="B487" s="8"/>
      <c r="C487" s="8"/>
      <c r="D487" s="8"/>
      <c r="E487" s="26"/>
      <c r="F487" s="35"/>
      <c r="G487" s="35"/>
      <c r="H487" s="35"/>
      <c r="I487" s="29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x14ac:dyDescent="0.35">
      <c r="A488" s="58"/>
      <c r="B488" s="8"/>
      <c r="C488" s="8"/>
      <c r="D488" s="8"/>
      <c r="E488" s="26"/>
      <c r="F488" s="35"/>
      <c r="G488" s="35"/>
      <c r="H488" s="35"/>
      <c r="I488" s="29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5">
      <c r="A489" s="58"/>
      <c r="B489" s="8"/>
      <c r="C489" s="8"/>
      <c r="D489" s="8"/>
      <c r="E489" s="26"/>
      <c r="F489" s="35"/>
      <c r="G489" s="35"/>
      <c r="H489" s="35"/>
      <c r="I489" s="29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x14ac:dyDescent="0.35">
      <c r="A490" s="58"/>
      <c r="B490" s="8"/>
      <c r="C490" s="8"/>
      <c r="D490" s="8"/>
      <c r="E490" s="26"/>
      <c r="F490" s="35"/>
      <c r="G490" s="35"/>
      <c r="H490" s="35"/>
      <c r="I490" s="29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x14ac:dyDescent="0.35">
      <c r="A491" s="58"/>
      <c r="B491" s="8"/>
      <c r="C491" s="8"/>
      <c r="D491" s="8"/>
      <c r="E491" s="26"/>
      <c r="F491" s="35"/>
      <c r="G491" s="35"/>
      <c r="H491" s="35"/>
      <c r="I491" s="29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35">
      <c r="A492" s="58"/>
      <c r="B492" s="8"/>
      <c r="C492" s="8"/>
      <c r="D492" s="8"/>
      <c r="E492" s="26"/>
      <c r="F492" s="35"/>
      <c r="G492" s="35"/>
      <c r="H492" s="35"/>
      <c r="I492" s="29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35">
      <c r="A493" s="58"/>
      <c r="B493" s="8"/>
      <c r="C493" s="8"/>
      <c r="D493" s="8"/>
      <c r="E493" s="26"/>
      <c r="F493" s="35"/>
      <c r="G493" s="35"/>
      <c r="H493" s="35"/>
      <c r="I493" s="29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x14ac:dyDescent="0.35">
      <c r="A494" s="58"/>
      <c r="B494" s="8"/>
      <c r="C494" s="8"/>
      <c r="D494" s="8"/>
      <c r="E494" s="26"/>
      <c r="F494" s="35"/>
      <c r="G494" s="35"/>
      <c r="H494" s="35"/>
      <c r="I494" s="29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x14ac:dyDescent="0.35">
      <c r="A495" s="58"/>
      <c r="B495" s="8"/>
      <c r="C495" s="8"/>
      <c r="D495" s="8"/>
      <c r="E495" s="26"/>
      <c r="F495" s="35"/>
      <c r="G495" s="35"/>
      <c r="H495" s="35"/>
      <c r="I495" s="29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35">
      <c r="A496" s="58"/>
      <c r="B496" s="8"/>
      <c r="C496" s="8"/>
      <c r="D496" s="8"/>
      <c r="E496" s="26"/>
      <c r="F496" s="35"/>
      <c r="G496" s="35"/>
      <c r="H496" s="35"/>
      <c r="I496" s="29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35">
      <c r="A497" s="58"/>
      <c r="B497" s="8"/>
      <c r="C497" s="8"/>
      <c r="D497" s="8"/>
      <c r="E497" s="26"/>
      <c r="F497" s="35"/>
      <c r="G497" s="35"/>
      <c r="H497" s="35"/>
      <c r="I497" s="29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x14ac:dyDescent="0.35">
      <c r="A498" s="58"/>
      <c r="B498" s="8"/>
      <c r="C498" s="8"/>
      <c r="D498" s="8"/>
      <c r="E498" s="26"/>
      <c r="F498" s="35"/>
      <c r="G498" s="35"/>
      <c r="H498" s="35"/>
      <c r="I498" s="29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x14ac:dyDescent="0.35">
      <c r="A499" s="58"/>
      <c r="B499" s="8"/>
      <c r="C499" s="8"/>
      <c r="D499" s="8"/>
      <c r="E499" s="26"/>
      <c r="F499" s="35"/>
      <c r="G499" s="35"/>
      <c r="H499" s="35"/>
      <c r="I499" s="29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x14ac:dyDescent="0.35">
      <c r="A500" s="58"/>
      <c r="B500" s="8"/>
      <c r="C500" s="8"/>
      <c r="D500" s="8"/>
      <c r="E500" s="26"/>
      <c r="F500" s="35"/>
      <c r="G500" s="35"/>
      <c r="H500" s="35"/>
      <c r="I500" s="29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x14ac:dyDescent="0.35">
      <c r="A501" s="58"/>
      <c r="B501" s="8"/>
      <c r="C501" s="8"/>
      <c r="D501" s="8"/>
      <c r="E501" s="26"/>
      <c r="F501" s="35"/>
      <c r="G501" s="35"/>
      <c r="H501" s="35"/>
      <c r="I501" s="29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35">
      <c r="A502" s="58"/>
      <c r="B502" s="8"/>
      <c r="C502" s="8"/>
      <c r="D502" s="8"/>
      <c r="E502" s="26"/>
      <c r="F502" s="35"/>
      <c r="G502" s="35"/>
      <c r="H502" s="35"/>
      <c r="I502" s="29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5">
      <c r="A503" s="58"/>
      <c r="B503" s="8"/>
      <c r="C503" s="8"/>
      <c r="D503" s="8"/>
      <c r="E503" s="26"/>
      <c r="F503" s="35"/>
      <c r="G503" s="35"/>
      <c r="H503" s="35"/>
      <c r="I503" s="29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x14ac:dyDescent="0.35">
      <c r="A504" s="58"/>
      <c r="B504" s="8"/>
      <c r="C504" s="8"/>
      <c r="D504" s="8"/>
      <c r="E504" s="26"/>
      <c r="F504" s="35"/>
      <c r="G504" s="35"/>
      <c r="H504" s="35"/>
      <c r="I504" s="29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x14ac:dyDescent="0.35">
      <c r="A505" s="58"/>
      <c r="B505" s="8"/>
      <c r="C505" s="8"/>
      <c r="D505" s="8"/>
      <c r="E505" s="26"/>
      <c r="F505" s="35"/>
      <c r="G505" s="35"/>
      <c r="H505" s="35"/>
      <c r="I505" s="29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35">
      <c r="A506" s="58"/>
      <c r="B506" s="8"/>
      <c r="C506" s="8"/>
      <c r="D506" s="8"/>
      <c r="E506" s="26"/>
      <c r="F506" s="35"/>
      <c r="G506" s="35"/>
      <c r="H506" s="35"/>
      <c r="I506" s="29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x14ac:dyDescent="0.35">
      <c r="A507" s="58"/>
      <c r="B507" s="8"/>
      <c r="C507" s="8"/>
      <c r="D507" s="8"/>
      <c r="E507" s="26"/>
      <c r="F507" s="35"/>
      <c r="G507" s="35"/>
      <c r="H507" s="35"/>
      <c r="I507" s="29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x14ac:dyDescent="0.35">
      <c r="A508" s="58"/>
      <c r="B508" s="8"/>
      <c r="C508" s="8"/>
      <c r="D508" s="8"/>
      <c r="E508" s="26"/>
      <c r="F508" s="35"/>
      <c r="G508" s="35"/>
      <c r="H508" s="35"/>
      <c r="I508" s="29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x14ac:dyDescent="0.35">
      <c r="A509" s="58"/>
      <c r="B509" s="8"/>
      <c r="C509" s="8"/>
      <c r="D509" s="8"/>
      <c r="E509" s="26"/>
      <c r="F509" s="35"/>
      <c r="G509" s="35"/>
      <c r="H509" s="35"/>
      <c r="I509" s="29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x14ac:dyDescent="0.35">
      <c r="A510" s="58"/>
      <c r="B510" s="8"/>
      <c r="C510" s="8"/>
      <c r="D510" s="8"/>
      <c r="E510" s="26"/>
      <c r="F510" s="35"/>
      <c r="G510" s="35"/>
      <c r="H510" s="35"/>
      <c r="I510" s="29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x14ac:dyDescent="0.35">
      <c r="A511" s="58"/>
      <c r="B511" s="8"/>
      <c r="C511" s="8"/>
      <c r="D511" s="8"/>
      <c r="E511" s="26"/>
      <c r="F511" s="35"/>
      <c r="G511" s="35"/>
      <c r="H511" s="35"/>
      <c r="I511" s="29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x14ac:dyDescent="0.35">
      <c r="A512" s="58"/>
      <c r="B512" s="8"/>
      <c r="C512" s="8"/>
      <c r="D512" s="8"/>
      <c r="E512" s="26"/>
      <c r="F512" s="35"/>
      <c r="G512" s="35"/>
      <c r="H512" s="35"/>
      <c r="I512" s="29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35">
      <c r="A513" s="58"/>
      <c r="B513" s="8"/>
      <c r="C513" s="8"/>
      <c r="D513" s="8"/>
      <c r="E513" s="26"/>
      <c r="F513" s="35"/>
      <c r="G513" s="35"/>
      <c r="H513" s="35"/>
      <c r="I513" s="29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x14ac:dyDescent="0.35">
      <c r="A514" s="58"/>
      <c r="B514" s="8"/>
      <c r="C514" s="8"/>
      <c r="D514" s="8"/>
      <c r="E514" s="26"/>
      <c r="F514" s="35"/>
      <c r="G514" s="35"/>
      <c r="H514" s="35"/>
      <c r="I514" s="29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x14ac:dyDescent="0.35">
      <c r="A515" s="58"/>
      <c r="B515" s="8"/>
      <c r="C515" s="8"/>
      <c r="D515" s="8"/>
      <c r="E515" s="26"/>
      <c r="F515" s="35"/>
      <c r="G515" s="35"/>
      <c r="H515" s="35"/>
      <c r="I515" s="29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x14ac:dyDescent="0.35">
      <c r="A516" s="58"/>
      <c r="B516" s="8"/>
      <c r="C516" s="8"/>
      <c r="D516" s="8"/>
      <c r="E516" s="26"/>
      <c r="F516" s="35"/>
      <c r="G516" s="35"/>
      <c r="H516" s="35"/>
      <c r="I516" s="29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x14ac:dyDescent="0.35">
      <c r="A517" s="58"/>
      <c r="B517" s="8"/>
      <c r="C517" s="8"/>
      <c r="D517" s="8"/>
      <c r="E517" s="26"/>
      <c r="F517" s="35"/>
      <c r="G517" s="35"/>
      <c r="H517" s="35"/>
      <c r="I517" s="29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x14ac:dyDescent="0.35">
      <c r="A518" s="58"/>
      <c r="B518" s="8"/>
      <c r="C518" s="8"/>
      <c r="D518" s="8"/>
      <c r="E518" s="26"/>
      <c r="F518" s="35"/>
      <c r="G518" s="35"/>
      <c r="H518" s="35"/>
      <c r="I518" s="29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x14ac:dyDescent="0.35">
      <c r="A519" s="58"/>
      <c r="B519" s="8"/>
      <c r="C519" s="8"/>
      <c r="D519" s="8"/>
      <c r="E519" s="26"/>
      <c r="F519" s="35"/>
      <c r="G519" s="35"/>
      <c r="H519" s="35"/>
      <c r="I519" s="29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x14ac:dyDescent="0.35">
      <c r="A520" s="58"/>
      <c r="B520" s="8"/>
      <c r="C520" s="8"/>
      <c r="D520" s="8"/>
      <c r="E520" s="26"/>
      <c r="F520" s="35"/>
      <c r="G520" s="35"/>
      <c r="H520" s="35"/>
      <c r="I520" s="29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x14ac:dyDescent="0.35">
      <c r="A521" s="58"/>
      <c r="B521" s="8"/>
      <c r="C521" s="8"/>
      <c r="D521" s="8"/>
      <c r="E521" s="26"/>
      <c r="F521" s="35"/>
      <c r="G521" s="35"/>
      <c r="H521" s="35"/>
      <c r="I521" s="29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5">
      <c r="A522" s="58"/>
      <c r="B522" s="8"/>
      <c r="C522" s="8"/>
      <c r="D522" s="8"/>
      <c r="E522" s="26"/>
      <c r="F522" s="35"/>
      <c r="G522" s="35"/>
      <c r="H522" s="35"/>
      <c r="I522" s="29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x14ac:dyDescent="0.35">
      <c r="A523" s="58"/>
      <c r="B523" s="8"/>
      <c r="C523" s="8"/>
      <c r="D523" s="8"/>
      <c r="E523" s="26"/>
      <c r="F523" s="35"/>
      <c r="G523" s="35"/>
      <c r="H523" s="35"/>
      <c r="I523" s="29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x14ac:dyDescent="0.35">
      <c r="A524" s="58"/>
      <c r="B524" s="8"/>
      <c r="C524" s="8"/>
      <c r="D524" s="8"/>
      <c r="E524" s="26"/>
      <c r="F524" s="35"/>
      <c r="G524" s="35"/>
      <c r="H524" s="35"/>
      <c r="I524" s="29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x14ac:dyDescent="0.35">
      <c r="A525" s="58"/>
      <c r="B525" s="8"/>
      <c r="C525" s="8"/>
      <c r="D525" s="8"/>
      <c r="E525" s="26"/>
      <c r="F525" s="35"/>
      <c r="G525" s="35"/>
      <c r="H525" s="35"/>
      <c r="I525" s="29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x14ac:dyDescent="0.35">
      <c r="A526" s="58"/>
      <c r="B526" s="8"/>
      <c r="C526" s="8"/>
      <c r="D526" s="8"/>
      <c r="E526" s="26"/>
      <c r="F526" s="35"/>
      <c r="G526" s="35"/>
      <c r="H526" s="35"/>
      <c r="I526" s="29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x14ac:dyDescent="0.35">
      <c r="A527" s="58"/>
      <c r="B527" s="8"/>
      <c r="C527" s="8"/>
      <c r="D527" s="8"/>
      <c r="E527" s="26"/>
      <c r="F527" s="35"/>
      <c r="G527" s="35"/>
      <c r="H527" s="35"/>
      <c r="I527" s="29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x14ac:dyDescent="0.35">
      <c r="A528" s="58"/>
      <c r="B528" s="8"/>
      <c r="C528" s="8"/>
      <c r="D528" s="8"/>
      <c r="E528" s="26"/>
      <c r="F528" s="35"/>
      <c r="G528" s="35"/>
      <c r="H528" s="35"/>
      <c r="I528" s="29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x14ac:dyDescent="0.35">
      <c r="A529" s="58"/>
      <c r="B529" s="8"/>
      <c r="C529" s="8"/>
      <c r="D529" s="8"/>
      <c r="E529" s="26"/>
      <c r="F529" s="35"/>
      <c r="G529" s="35"/>
      <c r="H529" s="35"/>
      <c r="I529" s="29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x14ac:dyDescent="0.35">
      <c r="A530" s="58"/>
      <c r="B530" s="8"/>
      <c r="C530" s="8"/>
      <c r="D530" s="8"/>
      <c r="E530" s="26"/>
      <c r="F530" s="35"/>
      <c r="G530" s="35"/>
      <c r="H530" s="35"/>
      <c r="I530" s="29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x14ac:dyDescent="0.35">
      <c r="A531" s="58"/>
      <c r="B531" s="8"/>
      <c r="C531" s="8"/>
      <c r="D531" s="8"/>
      <c r="E531" s="26"/>
      <c r="F531" s="35"/>
      <c r="G531" s="35"/>
      <c r="H531" s="35"/>
      <c r="I531" s="29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x14ac:dyDescent="0.35">
      <c r="A532" s="58"/>
      <c r="B532" s="8"/>
      <c r="C532" s="8"/>
      <c r="D532" s="8"/>
      <c r="E532" s="26"/>
      <c r="F532" s="35"/>
      <c r="G532" s="35"/>
      <c r="H532" s="35"/>
      <c r="I532" s="29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x14ac:dyDescent="0.35">
      <c r="A533" s="58"/>
      <c r="B533" s="8"/>
      <c r="C533" s="8"/>
      <c r="D533" s="8"/>
      <c r="E533" s="26"/>
      <c r="F533" s="35"/>
      <c r="G533" s="35"/>
      <c r="H533" s="35"/>
      <c r="I533" s="29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x14ac:dyDescent="0.35">
      <c r="A534" s="58"/>
      <c r="B534" s="8"/>
      <c r="C534" s="8"/>
      <c r="D534" s="8"/>
      <c r="E534" s="26"/>
      <c r="F534" s="35"/>
      <c r="G534" s="35"/>
      <c r="H534" s="35"/>
      <c r="I534" s="29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x14ac:dyDescent="0.35">
      <c r="A535" s="58"/>
      <c r="B535" s="8"/>
      <c r="C535" s="8"/>
      <c r="D535" s="8"/>
      <c r="E535" s="26"/>
      <c r="F535" s="35"/>
      <c r="G535" s="35"/>
      <c r="H535" s="35"/>
      <c r="I535" s="29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x14ac:dyDescent="0.35">
      <c r="A536" s="58"/>
      <c r="B536" s="8"/>
      <c r="C536" s="8"/>
      <c r="D536" s="8"/>
      <c r="E536" s="26"/>
      <c r="F536" s="35"/>
      <c r="G536" s="35"/>
      <c r="H536" s="35"/>
      <c r="I536" s="29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x14ac:dyDescent="0.35">
      <c r="A537" s="58"/>
      <c r="B537" s="8"/>
      <c r="C537" s="8"/>
      <c r="D537" s="8"/>
      <c r="E537" s="26"/>
      <c r="F537" s="35"/>
      <c r="G537" s="35"/>
      <c r="H537" s="35"/>
      <c r="I537" s="29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x14ac:dyDescent="0.35">
      <c r="A538" s="58"/>
      <c r="B538" s="8"/>
      <c r="C538" s="8"/>
      <c r="D538" s="8"/>
      <c r="E538" s="26"/>
      <c r="F538" s="35"/>
      <c r="G538" s="35"/>
      <c r="H538" s="35"/>
      <c r="I538" s="29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x14ac:dyDescent="0.35">
      <c r="A539" s="58"/>
      <c r="B539" s="8"/>
      <c r="C539" s="8"/>
      <c r="D539" s="8"/>
      <c r="E539" s="26"/>
      <c r="F539" s="35"/>
      <c r="G539" s="35"/>
      <c r="H539" s="35"/>
      <c r="I539" s="29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x14ac:dyDescent="0.35">
      <c r="A540" s="58"/>
      <c r="B540" s="8"/>
      <c r="C540" s="8"/>
      <c r="D540" s="8"/>
      <c r="E540" s="26"/>
      <c r="F540" s="35"/>
      <c r="G540" s="35"/>
      <c r="H540" s="35"/>
      <c r="I540" s="29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x14ac:dyDescent="0.35">
      <c r="A541" s="58"/>
      <c r="B541" s="8"/>
      <c r="C541" s="8"/>
      <c r="D541" s="8"/>
      <c r="E541" s="26"/>
      <c r="F541" s="35"/>
      <c r="G541" s="35"/>
      <c r="H541" s="35"/>
      <c r="I541" s="29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x14ac:dyDescent="0.35">
      <c r="A542" s="58"/>
      <c r="B542" s="8"/>
      <c r="C542" s="8"/>
      <c r="D542" s="8"/>
      <c r="E542" s="26"/>
      <c r="F542" s="35"/>
      <c r="G542" s="35"/>
      <c r="H542" s="35"/>
      <c r="I542" s="29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x14ac:dyDescent="0.35">
      <c r="A543" s="58"/>
      <c r="B543" s="8"/>
      <c r="C543" s="8"/>
      <c r="D543" s="8"/>
      <c r="E543" s="26"/>
      <c r="F543" s="35"/>
      <c r="G543" s="35"/>
      <c r="H543" s="35"/>
      <c r="I543" s="29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x14ac:dyDescent="0.35">
      <c r="A544" s="58"/>
      <c r="B544" s="8"/>
      <c r="C544" s="8"/>
      <c r="D544" s="8"/>
      <c r="E544" s="26"/>
      <c r="F544" s="35"/>
      <c r="G544" s="35"/>
      <c r="H544" s="35"/>
      <c r="I544" s="29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x14ac:dyDescent="0.35">
      <c r="A545" s="58"/>
      <c r="B545" s="8"/>
      <c r="C545" s="8"/>
      <c r="D545" s="8"/>
      <c r="E545" s="26"/>
      <c r="F545" s="35"/>
      <c r="G545" s="35"/>
      <c r="H545" s="35"/>
      <c r="I545" s="29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x14ac:dyDescent="0.35">
      <c r="A546" s="58"/>
      <c r="B546" s="8"/>
      <c r="C546" s="8"/>
      <c r="D546" s="8"/>
      <c r="E546" s="26"/>
      <c r="F546" s="35"/>
      <c r="G546" s="35"/>
      <c r="H546" s="35"/>
      <c r="I546" s="29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x14ac:dyDescent="0.35">
      <c r="A547" s="58"/>
      <c r="B547" s="8"/>
      <c r="C547" s="8"/>
      <c r="D547" s="8"/>
      <c r="E547" s="26"/>
      <c r="F547" s="35"/>
      <c r="G547" s="35"/>
      <c r="H547" s="35"/>
      <c r="I547" s="29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35">
      <c r="A548" s="58"/>
      <c r="B548" s="8"/>
      <c r="C548" s="8"/>
      <c r="D548" s="8"/>
      <c r="E548" s="26"/>
      <c r="F548" s="35"/>
      <c r="G548" s="35"/>
      <c r="H548" s="35"/>
      <c r="I548" s="29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x14ac:dyDescent="0.35">
      <c r="A549" s="58"/>
      <c r="B549" s="8"/>
      <c r="C549" s="8"/>
      <c r="D549" s="8"/>
      <c r="E549" s="26"/>
      <c r="F549" s="35"/>
      <c r="G549" s="35"/>
      <c r="H549" s="35"/>
      <c r="I549" s="29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x14ac:dyDescent="0.35">
      <c r="A550" s="58"/>
      <c r="B550" s="8"/>
      <c r="C550" s="8"/>
      <c r="D550" s="8"/>
      <c r="E550" s="26"/>
      <c r="F550" s="35"/>
      <c r="G550" s="35"/>
      <c r="H550" s="35"/>
      <c r="I550" s="29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x14ac:dyDescent="0.35">
      <c r="A551" s="58"/>
      <c r="B551" s="8"/>
      <c r="C551" s="8"/>
      <c r="D551" s="8"/>
      <c r="E551" s="26"/>
      <c r="F551" s="35"/>
      <c r="G551" s="35"/>
      <c r="H551" s="35"/>
      <c r="I551" s="29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x14ac:dyDescent="0.35">
      <c r="A552" s="58"/>
      <c r="B552" s="8"/>
      <c r="C552" s="8"/>
      <c r="D552" s="8"/>
      <c r="E552" s="26"/>
      <c r="F552" s="35"/>
      <c r="G552" s="35"/>
      <c r="H552" s="35"/>
      <c r="I552" s="29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x14ac:dyDescent="0.35">
      <c r="A553" s="58"/>
      <c r="B553" s="8"/>
      <c r="C553" s="8"/>
      <c r="D553" s="8"/>
      <c r="E553" s="26"/>
      <c r="F553" s="35"/>
      <c r="G553" s="35"/>
      <c r="H553" s="35"/>
      <c r="I553" s="29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x14ac:dyDescent="0.35">
      <c r="A554" s="58"/>
      <c r="B554" s="8"/>
      <c r="C554" s="8"/>
      <c r="D554" s="8"/>
      <c r="E554" s="26"/>
      <c r="F554" s="35"/>
      <c r="G554" s="35"/>
      <c r="H554" s="35"/>
      <c r="I554" s="29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x14ac:dyDescent="0.35">
      <c r="A555" s="58"/>
      <c r="B555" s="8"/>
      <c r="C555" s="8"/>
      <c r="D555" s="8"/>
      <c r="E555" s="26"/>
      <c r="F555" s="35"/>
      <c r="G555" s="35"/>
      <c r="H555" s="35"/>
      <c r="I555" s="29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x14ac:dyDescent="0.35">
      <c r="A556" s="58"/>
      <c r="B556" s="8"/>
      <c r="C556" s="8"/>
      <c r="D556" s="8"/>
      <c r="E556" s="26"/>
      <c r="F556" s="35"/>
      <c r="G556" s="35"/>
      <c r="H556" s="35"/>
      <c r="I556" s="29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x14ac:dyDescent="0.35">
      <c r="A557" s="58"/>
      <c r="B557" s="8"/>
      <c r="C557" s="8"/>
      <c r="D557" s="8"/>
      <c r="E557" s="26"/>
      <c r="F557" s="35"/>
      <c r="G557" s="35"/>
      <c r="H557" s="35"/>
      <c r="I557" s="29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x14ac:dyDescent="0.35">
      <c r="A558" s="58"/>
      <c r="B558" s="8"/>
      <c r="C558" s="8"/>
      <c r="D558" s="8"/>
      <c r="E558" s="26"/>
      <c r="F558" s="35"/>
      <c r="G558" s="35"/>
      <c r="H558" s="35"/>
      <c r="I558" s="29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x14ac:dyDescent="0.35">
      <c r="A559" s="58"/>
      <c r="B559" s="8"/>
      <c r="C559" s="8"/>
      <c r="D559" s="8"/>
      <c r="E559" s="26"/>
      <c r="F559" s="35"/>
      <c r="G559" s="35"/>
      <c r="H559" s="35"/>
      <c r="I559" s="29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x14ac:dyDescent="0.35">
      <c r="A560" s="58"/>
      <c r="B560" s="8"/>
      <c r="C560" s="8"/>
      <c r="D560" s="8"/>
      <c r="E560" s="26"/>
      <c r="F560" s="35"/>
      <c r="G560" s="35"/>
      <c r="H560" s="35"/>
      <c r="I560" s="29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x14ac:dyDescent="0.35">
      <c r="A561" s="58"/>
      <c r="B561" s="8"/>
      <c r="C561" s="8"/>
      <c r="D561" s="8"/>
      <c r="E561" s="26"/>
      <c r="F561" s="35"/>
      <c r="G561" s="35"/>
      <c r="H561" s="35"/>
      <c r="I561" s="29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x14ac:dyDescent="0.35">
      <c r="A562" s="58"/>
      <c r="B562" s="8"/>
      <c r="C562" s="8"/>
      <c r="D562" s="8"/>
      <c r="E562" s="26"/>
      <c r="F562" s="35"/>
      <c r="G562" s="35"/>
      <c r="H562" s="35"/>
      <c r="I562" s="29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x14ac:dyDescent="0.35">
      <c r="A563" s="58"/>
      <c r="B563" s="8"/>
      <c r="C563" s="8"/>
      <c r="D563" s="8"/>
      <c r="E563" s="26"/>
      <c r="F563" s="35"/>
      <c r="G563" s="35"/>
      <c r="H563" s="35"/>
      <c r="I563" s="29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x14ac:dyDescent="0.35">
      <c r="A564" s="58"/>
      <c r="B564" s="8"/>
      <c r="C564" s="8"/>
      <c r="D564" s="8"/>
      <c r="E564" s="26"/>
      <c r="F564" s="35"/>
      <c r="G564" s="35"/>
      <c r="H564" s="35"/>
      <c r="I564" s="29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x14ac:dyDescent="0.35">
      <c r="A565" s="58"/>
      <c r="B565" s="8"/>
      <c r="C565" s="8"/>
      <c r="D565" s="8"/>
      <c r="E565" s="26"/>
      <c r="F565" s="35"/>
      <c r="G565" s="35"/>
      <c r="H565" s="35"/>
      <c r="I565" s="29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x14ac:dyDescent="0.35">
      <c r="A566" s="58"/>
      <c r="B566" s="8"/>
      <c r="C566" s="8"/>
      <c r="D566" s="8"/>
      <c r="E566" s="26"/>
      <c r="F566" s="35"/>
      <c r="G566" s="35"/>
      <c r="H566" s="35"/>
      <c r="I566" s="29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x14ac:dyDescent="0.35">
      <c r="A567" s="58"/>
      <c r="B567" s="8"/>
      <c r="C567" s="8"/>
      <c r="D567" s="8"/>
      <c r="E567" s="26"/>
      <c r="F567" s="35"/>
      <c r="G567" s="35"/>
      <c r="H567" s="35"/>
      <c r="I567" s="29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x14ac:dyDescent="0.35">
      <c r="A568" s="58"/>
      <c r="B568" s="8"/>
      <c r="C568" s="8"/>
      <c r="D568" s="8"/>
      <c r="E568" s="26"/>
      <c r="F568" s="35"/>
      <c r="G568" s="35"/>
      <c r="H568" s="35"/>
      <c r="I568" s="29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x14ac:dyDescent="0.35">
      <c r="A569" s="58"/>
      <c r="B569" s="8"/>
      <c r="C569" s="8"/>
      <c r="D569" s="8"/>
      <c r="E569" s="26"/>
      <c r="F569" s="35"/>
      <c r="G569" s="35"/>
      <c r="H569" s="35"/>
      <c r="I569" s="29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x14ac:dyDescent="0.35">
      <c r="A570" s="58"/>
      <c r="B570" s="8"/>
      <c r="C570" s="8"/>
      <c r="D570" s="8"/>
      <c r="E570" s="26"/>
      <c r="F570" s="35"/>
      <c r="G570" s="35"/>
      <c r="H570" s="35"/>
      <c r="I570" s="29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x14ac:dyDescent="0.35">
      <c r="A571" s="58"/>
      <c r="B571" s="8"/>
      <c r="C571" s="8"/>
      <c r="D571" s="8"/>
      <c r="E571" s="26"/>
      <c r="F571" s="35"/>
      <c r="G571" s="35"/>
      <c r="H571" s="35"/>
      <c r="I571" s="29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x14ac:dyDescent="0.35">
      <c r="A572" s="58"/>
      <c r="B572" s="8"/>
      <c r="C572" s="8"/>
      <c r="D572" s="8"/>
      <c r="E572" s="26"/>
      <c r="F572" s="35"/>
      <c r="G572" s="35"/>
      <c r="H572" s="35"/>
      <c r="I572" s="29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x14ac:dyDescent="0.35">
      <c r="A573" s="58"/>
      <c r="B573" s="8"/>
      <c r="C573" s="8"/>
      <c r="D573" s="8"/>
      <c r="E573" s="26"/>
      <c r="F573" s="35"/>
      <c r="G573" s="35"/>
      <c r="H573" s="35"/>
      <c r="I573" s="29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x14ac:dyDescent="0.35">
      <c r="A574" s="58"/>
      <c r="B574" s="8"/>
      <c r="C574" s="8"/>
      <c r="D574" s="8"/>
      <c r="E574" s="26"/>
      <c r="F574" s="35"/>
      <c r="G574" s="35"/>
      <c r="H574" s="35"/>
      <c r="I574" s="29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x14ac:dyDescent="0.35">
      <c r="A575" s="58"/>
      <c r="B575" s="8"/>
      <c r="C575" s="8"/>
      <c r="D575" s="8"/>
      <c r="E575" s="26"/>
      <c r="F575" s="35"/>
      <c r="G575" s="35"/>
      <c r="H575" s="35"/>
      <c r="I575" s="29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x14ac:dyDescent="0.35">
      <c r="A576" s="58"/>
      <c r="B576" s="8"/>
      <c r="C576" s="8"/>
      <c r="D576" s="8"/>
      <c r="E576" s="26"/>
      <c r="F576" s="35"/>
      <c r="G576" s="35"/>
      <c r="H576" s="35"/>
      <c r="I576" s="29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x14ac:dyDescent="0.35">
      <c r="A577" s="58"/>
      <c r="B577" s="8"/>
      <c r="C577" s="8"/>
      <c r="D577" s="8"/>
      <c r="E577" s="26"/>
      <c r="F577" s="35"/>
      <c r="G577" s="35"/>
      <c r="H577" s="35"/>
      <c r="I577" s="29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x14ac:dyDescent="0.35">
      <c r="A578" s="58"/>
      <c r="B578" s="8"/>
      <c r="C578" s="8"/>
      <c r="D578" s="8"/>
      <c r="E578" s="26"/>
      <c r="F578" s="35"/>
      <c r="G578" s="35"/>
      <c r="H578" s="35"/>
      <c r="I578" s="29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x14ac:dyDescent="0.35">
      <c r="A579" s="58"/>
      <c r="B579" s="8"/>
      <c r="C579" s="8"/>
      <c r="D579" s="8"/>
      <c r="E579" s="26"/>
      <c r="F579" s="35"/>
      <c r="G579" s="35"/>
      <c r="H579" s="35"/>
      <c r="I579" s="29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x14ac:dyDescent="0.35">
      <c r="A580" s="58"/>
      <c r="B580" s="8"/>
      <c r="C580" s="8"/>
      <c r="D580" s="8"/>
      <c r="E580" s="26"/>
      <c r="F580" s="35"/>
      <c r="G580" s="35"/>
      <c r="H580" s="35"/>
      <c r="I580" s="29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x14ac:dyDescent="0.35">
      <c r="A581" s="58"/>
      <c r="B581" s="8"/>
      <c r="C581" s="8"/>
      <c r="D581" s="8"/>
      <c r="E581" s="26"/>
      <c r="F581" s="35"/>
      <c r="G581" s="35"/>
      <c r="H581" s="35"/>
      <c r="I581" s="29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x14ac:dyDescent="0.35">
      <c r="A582" s="58"/>
      <c r="B582" s="8"/>
      <c r="C582" s="8"/>
      <c r="D582" s="8"/>
      <c r="E582" s="26"/>
      <c r="F582" s="35"/>
      <c r="G582" s="35"/>
      <c r="H582" s="35"/>
      <c r="I582" s="29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x14ac:dyDescent="0.35">
      <c r="A583" s="58"/>
      <c r="B583" s="8"/>
      <c r="C583" s="8"/>
      <c r="D583" s="8"/>
      <c r="E583" s="26"/>
      <c r="F583" s="35"/>
      <c r="G583" s="35"/>
      <c r="H583" s="35"/>
      <c r="I583" s="29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x14ac:dyDescent="0.35">
      <c r="A584" s="58"/>
      <c r="B584" s="8"/>
      <c r="C584" s="8"/>
      <c r="D584" s="8"/>
      <c r="E584" s="26"/>
      <c r="F584" s="35"/>
      <c r="G584" s="35"/>
      <c r="H584" s="35"/>
      <c r="I584" s="29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x14ac:dyDescent="0.35">
      <c r="A585" s="58"/>
      <c r="B585" s="8"/>
      <c r="C585" s="8"/>
      <c r="D585" s="8"/>
      <c r="E585" s="26"/>
      <c r="F585" s="35"/>
      <c r="G585" s="35"/>
      <c r="H585" s="35"/>
      <c r="I585" s="29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x14ac:dyDescent="0.35">
      <c r="A586" s="58"/>
      <c r="B586" s="8"/>
      <c r="C586" s="8"/>
      <c r="D586" s="8"/>
      <c r="E586" s="26"/>
      <c r="F586" s="35"/>
      <c r="G586" s="35"/>
      <c r="H586" s="35"/>
      <c r="I586" s="29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x14ac:dyDescent="0.35">
      <c r="A587" s="58"/>
      <c r="B587" s="8"/>
      <c r="C587" s="8"/>
      <c r="D587" s="8"/>
      <c r="E587" s="26"/>
      <c r="F587" s="35"/>
      <c r="G587" s="35"/>
      <c r="H587" s="35"/>
      <c r="I587" s="29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x14ac:dyDescent="0.35">
      <c r="A588" s="58"/>
      <c r="B588" s="8"/>
      <c r="C588" s="8"/>
      <c r="D588" s="8"/>
      <c r="E588" s="26"/>
      <c r="F588" s="35"/>
      <c r="G588" s="35"/>
      <c r="H588" s="35"/>
      <c r="I588" s="29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x14ac:dyDescent="0.35">
      <c r="A589" s="58"/>
      <c r="B589" s="8"/>
      <c r="C589" s="8"/>
      <c r="D589" s="8"/>
      <c r="E589" s="26"/>
      <c r="F589" s="35"/>
      <c r="G589" s="35"/>
      <c r="H589" s="35"/>
      <c r="I589" s="29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x14ac:dyDescent="0.35">
      <c r="A590" s="58"/>
      <c r="B590" s="8"/>
      <c r="C590" s="8"/>
      <c r="D590" s="8"/>
      <c r="E590" s="26"/>
      <c r="F590" s="35"/>
      <c r="G590" s="35"/>
      <c r="H590" s="35"/>
      <c r="I590" s="29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x14ac:dyDescent="0.35">
      <c r="A591" s="58"/>
      <c r="B591" s="8"/>
      <c r="C591" s="8"/>
      <c r="D591" s="8"/>
      <c r="E591" s="26"/>
      <c r="F591" s="35"/>
      <c r="G591" s="35"/>
      <c r="H591" s="35"/>
      <c r="I591" s="29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x14ac:dyDescent="0.35">
      <c r="A592" s="58"/>
      <c r="B592" s="8"/>
      <c r="C592" s="8"/>
      <c r="D592" s="8"/>
      <c r="E592" s="26"/>
      <c r="F592" s="35"/>
      <c r="G592" s="35"/>
      <c r="H592" s="35"/>
      <c r="I592" s="29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x14ac:dyDescent="0.35">
      <c r="A593" s="58"/>
      <c r="B593" s="8"/>
      <c r="C593" s="8"/>
      <c r="D593" s="8"/>
      <c r="E593" s="26"/>
      <c r="F593" s="35"/>
      <c r="G593" s="35"/>
      <c r="H593" s="35"/>
      <c r="I593" s="29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x14ac:dyDescent="0.35">
      <c r="A594" s="58"/>
      <c r="B594" s="8"/>
      <c r="C594" s="8"/>
      <c r="D594" s="8"/>
      <c r="E594" s="26"/>
      <c r="F594" s="35"/>
      <c r="G594" s="35"/>
      <c r="H594" s="35"/>
      <c r="I594" s="29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x14ac:dyDescent="0.35">
      <c r="A595" s="58"/>
      <c r="B595" s="8"/>
      <c r="C595" s="8"/>
      <c r="D595" s="8"/>
      <c r="E595" s="26"/>
      <c r="F595" s="35"/>
      <c r="G595" s="35"/>
      <c r="H595" s="35"/>
      <c r="I595" s="29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x14ac:dyDescent="0.35">
      <c r="A596" s="58"/>
      <c r="B596" s="8"/>
      <c r="C596" s="8"/>
      <c r="D596" s="8"/>
      <c r="E596" s="26"/>
      <c r="F596" s="35"/>
      <c r="G596" s="35"/>
      <c r="H596" s="35"/>
      <c r="I596" s="29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x14ac:dyDescent="0.35">
      <c r="A597" s="58"/>
      <c r="B597" s="8"/>
      <c r="C597" s="8"/>
      <c r="D597" s="8"/>
      <c r="E597" s="26"/>
      <c r="F597" s="35"/>
      <c r="G597" s="35"/>
      <c r="H597" s="35"/>
      <c r="I597" s="29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x14ac:dyDescent="0.35">
      <c r="A598" s="58"/>
      <c r="B598" s="8"/>
      <c r="C598" s="8"/>
      <c r="D598" s="8"/>
      <c r="E598" s="26"/>
      <c r="F598" s="35"/>
      <c r="G598" s="35"/>
      <c r="H598" s="35"/>
      <c r="I598" s="29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x14ac:dyDescent="0.35">
      <c r="A599" s="58"/>
      <c r="B599" s="8"/>
      <c r="C599" s="8"/>
      <c r="D599" s="8"/>
      <c r="E599" s="26"/>
      <c r="F599" s="35"/>
      <c r="G599" s="35"/>
      <c r="H599" s="35"/>
      <c r="I599" s="29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x14ac:dyDescent="0.35">
      <c r="A600" s="58"/>
      <c r="B600" s="8"/>
      <c r="C600" s="8"/>
      <c r="D600" s="8"/>
      <c r="E600" s="26"/>
      <c r="F600" s="35"/>
      <c r="G600" s="35"/>
      <c r="H600" s="35"/>
      <c r="I600" s="29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x14ac:dyDescent="0.35">
      <c r="A601" s="58"/>
      <c r="B601" s="8"/>
      <c r="C601" s="8"/>
      <c r="D601" s="8"/>
      <c r="E601" s="26"/>
      <c r="F601" s="35"/>
      <c r="G601" s="35"/>
      <c r="H601" s="35"/>
      <c r="I601" s="29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x14ac:dyDescent="0.35">
      <c r="A602" s="58"/>
      <c r="B602" s="8"/>
      <c r="C602" s="8"/>
      <c r="D602" s="8"/>
      <c r="E602" s="26"/>
      <c r="F602" s="35"/>
      <c r="G602" s="35"/>
      <c r="H602" s="35"/>
      <c r="I602" s="29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x14ac:dyDescent="0.35">
      <c r="A603" s="58"/>
      <c r="B603" s="8"/>
      <c r="C603" s="8"/>
      <c r="D603" s="8"/>
      <c r="E603" s="26"/>
      <c r="F603" s="35"/>
      <c r="G603" s="35"/>
      <c r="H603" s="35"/>
      <c r="I603" s="29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x14ac:dyDescent="0.35">
      <c r="A604" s="58"/>
      <c r="B604" s="8"/>
      <c r="C604" s="8"/>
      <c r="D604" s="8"/>
      <c r="E604" s="26"/>
      <c r="F604" s="35"/>
      <c r="G604" s="35"/>
      <c r="H604" s="35"/>
      <c r="I604" s="29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x14ac:dyDescent="0.35">
      <c r="A605" s="58"/>
      <c r="B605" s="8"/>
      <c r="C605" s="8"/>
      <c r="D605" s="8"/>
      <c r="E605" s="26"/>
      <c r="F605" s="35"/>
      <c r="G605" s="35"/>
      <c r="H605" s="35"/>
      <c r="I605" s="29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x14ac:dyDescent="0.35">
      <c r="A606" s="58"/>
      <c r="B606" s="8"/>
      <c r="C606" s="8"/>
      <c r="D606" s="8"/>
      <c r="E606" s="26"/>
      <c r="F606" s="35"/>
      <c r="G606" s="35"/>
      <c r="H606" s="35"/>
      <c r="I606" s="29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x14ac:dyDescent="0.35">
      <c r="A607" s="58"/>
      <c r="B607" s="8"/>
      <c r="C607" s="8"/>
      <c r="D607" s="8"/>
      <c r="E607" s="26"/>
      <c r="F607" s="35"/>
      <c r="G607" s="35"/>
      <c r="H607" s="35"/>
      <c r="I607" s="29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x14ac:dyDescent="0.35">
      <c r="A608" s="58"/>
      <c r="B608" s="8"/>
      <c r="C608" s="8"/>
      <c r="D608" s="8"/>
      <c r="E608" s="26"/>
      <c r="F608" s="35"/>
      <c r="G608" s="35"/>
      <c r="H608" s="35"/>
      <c r="I608" s="29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x14ac:dyDescent="0.35">
      <c r="A609" s="58"/>
      <c r="B609" s="8"/>
      <c r="C609" s="8"/>
      <c r="D609" s="8"/>
      <c r="E609" s="26"/>
      <c r="F609" s="35"/>
      <c r="G609" s="35"/>
      <c r="H609" s="35"/>
      <c r="I609" s="29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x14ac:dyDescent="0.35">
      <c r="A610" s="58"/>
      <c r="B610" s="8"/>
      <c r="C610" s="8"/>
      <c r="D610" s="8"/>
      <c r="E610" s="26"/>
      <c r="F610" s="35"/>
      <c r="G610" s="35"/>
      <c r="H610" s="35"/>
      <c r="I610" s="29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x14ac:dyDescent="0.35">
      <c r="A611" s="58"/>
      <c r="B611" s="8"/>
      <c r="C611" s="8"/>
      <c r="D611" s="8"/>
      <c r="E611" s="26"/>
      <c r="F611" s="35"/>
      <c r="G611" s="35"/>
      <c r="H611" s="35"/>
      <c r="I611" s="29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x14ac:dyDescent="0.35">
      <c r="A612" s="58"/>
      <c r="B612" s="8"/>
      <c r="C612" s="8"/>
      <c r="D612" s="8"/>
      <c r="E612" s="26"/>
      <c r="F612" s="35"/>
      <c r="G612" s="35"/>
      <c r="H612" s="35"/>
      <c r="I612" s="29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x14ac:dyDescent="0.35">
      <c r="A613" s="58"/>
      <c r="B613" s="8"/>
      <c r="C613" s="8"/>
      <c r="D613" s="8"/>
      <c r="E613" s="26"/>
      <c r="F613" s="35"/>
      <c r="G613" s="35"/>
      <c r="H613" s="35"/>
      <c r="I613" s="29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x14ac:dyDescent="0.35">
      <c r="A614" s="58"/>
      <c r="B614" s="8"/>
      <c r="C614" s="8"/>
      <c r="D614" s="8"/>
      <c r="E614" s="26"/>
      <c r="F614" s="35"/>
      <c r="G614" s="35"/>
      <c r="H614" s="35"/>
      <c r="I614" s="29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x14ac:dyDescent="0.35">
      <c r="A615" s="58"/>
      <c r="B615" s="8"/>
      <c r="C615" s="8"/>
      <c r="D615" s="8"/>
      <c r="E615" s="26"/>
      <c r="F615" s="35"/>
      <c r="G615" s="35"/>
      <c r="H615" s="35"/>
      <c r="I615" s="29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x14ac:dyDescent="0.35">
      <c r="A616" s="58"/>
      <c r="B616" s="8"/>
      <c r="C616" s="8"/>
      <c r="D616" s="8"/>
      <c r="E616" s="26"/>
      <c r="F616" s="35"/>
      <c r="G616" s="35"/>
      <c r="H616" s="35"/>
      <c r="I616" s="29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x14ac:dyDescent="0.35">
      <c r="A617" s="58"/>
      <c r="B617" s="8"/>
      <c r="C617" s="8"/>
      <c r="D617" s="8"/>
      <c r="E617" s="26"/>
      <c r="F617" s="35"/>
      <c r="G617" s="35"/>
      <c r="H617" s="35"/>
      <c r="I617" s="29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x14ac:dyDescent="0.35">
      <c r="A618" s="58"/>
      <c r="B618" s="8"/>
      <c r="C618" s="8"/>
      <c r="D618" s="8"/>
      <c r="E618" s="26"/>
      <c r="F618" s="35"/>
      <c r="G618" s="35"/>
      <c r="H618" s="35"/>
      <c r="I618" s="29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x14ac:dyDescent="0.35">
      <c r="A619" s="58"/>
      <c r="B619" s="8"/>
      <c r="C619" s="8"/>
      <c r="D619" s="8"/>
      <c r="E619" s="26"/>
      <c r="F619" s="35"/>
      <c r="G619" s="35"/>
      <c r="H619" s="35"/>
      <c r="I619" s="29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x14ac:dyDescent="0.35">
      <c r="A620" s="58"/>
      <c r="B620" s="8"/>
      <c r="C620" s="8"/>
      <c r="D620" s="8"/>
      <c r="E620" s="26"/>
      <c r="F620" s="35"/>
      <c r="G620" s="35"/>
      <c r="H620" s="35"/>
      <c r="I620" s="29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x14ac:dyDescent="0.35">
      <c r="A621" s="58"/>
      <c r="B621" s="8"/>
      <c r="C621" s="8"/>
      <c r="D621" s="8"/>
      <c r="E621" s="26"/>
      <c r="F621" s="35"/>
      <c r="G621" s="35"/>
      <c r="H621" s="35"/>
      <c r="I621" s="29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x14ac:dyDescent="0.35">
      <c r="A622" s="58"/>
      <c r="B622" s="8"/>
      <c r="C622" s="8"/>
      <c r="D622" s="8"/>
      <c r="E622" s="26"/>
      <c r="F622" s="35"/>
      <c r="G622" s="35"/>
      <c r="H622" s="35"/>
      <c r="I622" s="29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5">
      <c r="A623" s="58"/>
      <c r="B623" s="8"/>
      <c r="C623" s="8"/>
      <c r="D623" s="8"/>
      <c r="E623" s="26"/>
      <c r="F623" s="35"/>
      <c r="G623" s="35"/>
      <c r="H623" s="35"/>
      <c r="I623" s="29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x14ac:dyDescent="0.35">
      <c r="A624" s="58"/>
      <c r="B624" s="8"/>
      <c r="C624" s="8"/>
      <c r="D624" s="8"/>
      <c r="E624" s="26"/>
      <c r="F624" s="35"/>
      <c r="G624" s="35"/>
      <c r="H624" s="35"/>
      <c r="I624" s="29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x14ac:dyDescent="0.35">
      <c r="A625" s="58"/>
      <c r="B625" s="8"/>
      <c r="C625" s="8"/>
      <c r="D625" s="8"/>
      <c r="E625" s="26"/>
      <c r="F625" s="35"/>
      <c r="G625" s="35"/>
      <c r="H625" s="35"/>
      <c r="I625" s="29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x14ac:dyDescent="0.35">
      <c r="A626" s="58"/>
      <c r="B626" s="8"/>
      <c r="C626" s="8"/>
      <c r="D626" s="8"/>
      <c r="E626" s="26"/>
      <c r="F626" s="35"/>
      <c r="G626" s="35"/>
      <c r="H626" s="35"/>
      <c r="I626" s="29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x14ac:dyDescent="0.35">
      <c r="A627" s="58"/>
      <c r="B627" s="8"/>
      <c r="C627" s="8"/>
      <c r="D627" s="8"/>
      <c r="E627" s="26"/>
      <c r="F627" s="35"/>
      <c r="G627" s="35"/>
      <c r="H627" s="35"/>
      <c r="I627" s="29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x14ac:dyDescent="0.35">
      <c r="A628" s="58"/>
      <c r="B628" s="8"/>
      <c r="C628" s="8"/>
      <c r="D628" s="8"/>
      <c r="E628" s="26"/>
      <c r="F628" s="35"/>
      <c r="G628" s="35"/>
      <c r="H628" s="35"/>
      <c r="I628" s="29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x14ac:dyDescent="0.35">
      <c r="A629" s="58"/>
      <c r="B629" s="8"/>
      <c r="C629" s="8"/>
      <c r="D629" s="8"/>
      <c r="E629" s="26"/>
      <c r="F629" s="35"/>
      <c r="G629" s="35"/>
      <c r="H629" s="35"/>
      <c r="I629" s="29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x14ac:dyDescent="0.35">
      <c r="A630" s="58"/>
      <c r="B630" s="8"/>
      <c r="C630" s="8"/>
      <c r="D630" s="8"/>
      <c r="E630" s="26"/>
      <c r="F630" s="35"/>
      <c r="G630" s="35"/>
      <c r="H630" s="35"/>
      <c r="I630" s="29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x14ac:dyDescent="0.35">
      <c r="A631" s="58"/>
      <c r="B631" s="8"/>
      <c r="C631" s="8"/>
      <c r="D631" s="8"/>
      <c r="E631" s="26"/>
      <c r="F631" s="35"/>
      <c r="G631" s="35"/>
      <c r="H631" s="35"/>
      <c r="I631" s="29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x14ac:dyDescent="0.35">
      <c r="A632" s="58"/>
      <c r="B632" s="8"/>
      <c r="C632" s="8"/>
      <c r="D632" s="8"/>
      <c r="E632" s="26"/>
      <c r="F632" s="35"/>
      <c r="G632" s="35"/>
      <c r="H632" s="35"/>
      <c r="I632" s="29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x14ac:dyDescent="0.35">
      <c r="A633" s="58"/>
      <c r="B633" s="8"/>
      <c r="C633" s="8"/>
      <c r="D633" s="8"/>
      <c r="E633" s="26"/>
      <c r="F633" s="35"/>
      <c r="G633" s="35"/>
      <c r="H633" s="35"/>
      <c r="I633" s="29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x14ac:dyDescent="0.35">
      <c r="A634" s="58"/>
      <c r="B634" s="8"/>
      <c r="C634" s="8"/>
      <c r="D634" s="8"/>
      <c r="E634" s="26"/>
      <c r="F634" s="35"/>
      <c r="G634" s="35"/>
      <c r="H634" s="35"/>
      <c r="I634" s="29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x14ac:dyDescent="0.35">
      <c r="A635" s="58"/>
      <c r="B635" s="8"/>
      <c r="C635" s="8"/>
      <c r="D635" s="8"/>
      <c r="E635" s="26"/>
      <c r="F635" s="35"/>
      <c r="G635" s="35"/>
      <c r="H635" s="35"/>
      <c r="I635" s="29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x14ac:dyDescent="0.35">
      <c r="A636" s="58"/>
      <c r="B636" s="8"/>
      <c r="C636" s="8"/>
      <c r="D636" s="8"/>
      <c r="E636" s="26"/>
      <c r="F636" s="35"/>
      <c r="G636" s="35"/>
      <c r="H636" s="35"/>
      <c r="I636" s="29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x14ac:dyDescent="0.35">
      <c r="A637" s="58"/>
      <c r="B637" s="8"/>
      <c r="C637" s="8"/>
      <c r="D637" s="8"/>
      <c r="E637" s="26"/>
      <c r="F637" s="35"/>
      <c r="G637" s="35"/>
      <c r="H637" s="35"/>
      <c r="I637" s="29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x14ac:dyDescent="0.35">
      <c r="A638" s="58"/>
      <c r="B638" s="8"/>
      <c r="C638" s="8"/>
      <c r="D638" s="8"/>
      <c r="E638" s="26"/>
      <c r="F638" s="35"/>
      <c r="G638" s="35"/>
      <c r="H638" s="35"/>
      <c r="I638" s="29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x14ac:dyDescent="0.35">
      <c r="A639" s="58"/>
      <c r="B639" s="8"/>
      <c r="C639" s="8"/>
      <c r="D639" s="8"/>
      <c r="E639" s="26"/>
      <c r="F639" s="35"/>
      <c r="G639" s="35"/>
      <c r="H639" s="35"/>
      <c r="I639" s="29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x14ac:dyDescent="0.35">
      <c r="A640" s="58"/>
      <c r="B640" s="8"/>
      <c r="C640" s="8"/>
      <c r="D640" s="8"/>
      <c r="E640" s="26"/>
      <c r="F640" s="35"/>
      <c r="G640" s="35"/>
      <c r="H640" s="35"/>
      <c r="I640" s="29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x14ac:dyDescent="0.35">
      <c r="A641" s="58"/>
      <c r="B641" s="8"/>
      <c r="C641" s="8"/>
      <c r="D641" s="8"/>
      <c r="E641" s="26"/>
      <c r="F641" s="35"/>
      <c r="G641" s="35"/>
      <c r="H641" s="35"/>
      <c r="I641" s="29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x14ac:dyDescent="0.35">
      <c r="A642" s="58"/>
      <c r="B642" s="8"/>
      <c r="C642" s="8"/>
      <c r="D642" s="8"/>
      <c r="E642" s="26"/>
      <c r="F642" s="35"/>
      <c r="G642" s="35"/>
      <c r="H642" s="35"/>
      <c r="I642" s="29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x14ac:dyDescent="0.35">
      <c r="A643" s="58"/>
      <c r="B643" s="8"/>
      <c r="C643" s="8"/>
      <c r="D643" s="8"/>
      <c r="E643" s="26"/>
      <c r="F643" s="35"/>
      <c r="G643" s="35"/>
      <c r="H643" s="35"/>
      <c r="I643" s="29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x14ac:dyDescent="0.35">
      <c r="A644" s="58"/>
      <c r="B644" s="8"/>
      <c r="C644" s="8"/>
      <c r="D644" s="8"/>
      <c r="E644" s="26"/>
      <c r="F644" s="35"/>
      <c r="G644" s="35"/>
      <c r="H644" s="35"/>
      <c r="I644" s="29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x14ac:dyDescent="0.35">
      <c r="A645" s="58"/>
      <c r="B645" s="8"/>
      <c r="C645" s="8"/>
      <c r="D645" s="8"/>
      <c r="E645" s="26"/>
      <c r="F645" s="35"/>
      <c r="G645" s="35"/>
      <c r="H645" s="35"/>
      <c r="I645" s="29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x14ac:dyDescent="0.35">
      <c r="A646" s="58"/>
      <c r="B646" s="8"/>
      <c r="C646" s="8"/>
      <c r="D646" s="8"/>
      <c r="E646" s="26"/>
      <c r="F646" s="35"/>
      <c r="G646" s="35"/>
      <c r="H646" s="35"/>
      <c r="I646" s="29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x14ac:dyDescent="0.35">
      <c r="A647" s="58"/>
      <c r="B647" s="8"/>
      <c r="C647" s="8"/>
      <c r="D647" s="8"/>
      <c r="E647" s="26"/>
      <c r="F647" s="35"/>
      <c r="G647" s="35"/>
      <c r="H647" s="35"/>
      <c r="I647" s="29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x14ac:dyDescent="0.35">
      <c r="A648" s="58"/>
      <c r="B648" s="8"/>
      <c r="C648" s="8"/>
      <c r="D648" s="8"/>
      <c r="E648" s="26"/>
      <c r="F648" s="35"/>
      <c r="G648" s="35"/>
      <c r="H648" s="35"/>
      <c r="I648" s="29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x14ac:dyDescent="0.35">
      <c r="A649" s="58"/>
      <c r="B649" s="8"/>
      <c r="C649" s="8"/>
      <c r="D649" s="8"/>
      <c r="E649" s="26"/>
      <c r="F649" s="35"/>
      <c r="G649" s="35"/>
      <c r="H649" s="35"/>
      <c r="I649" s="29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x14ac:dyDescent="0.35">
      <c r="A650" s="58"/>
      <c r="B650" s="8"/>
      <c r="C650" s="8"/>
      <c r="D650" s="8"/>
      <c r="E650" s="26"/>
      <c r="F650" s="35"/>
      <c r="G650" s="35"/>
      <c r="H650" s="35"/>
      <c r="I650" s="29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x14ac:dyDescent="0.35">
      <c r="A651" s="58"/>
      <c r="B651" s="8"/>
      <c r="C651" s="8"/>
      <c r="D651" s="8"/>
      <c r="E651" s="26"/>
      <c r="F651" s="35"/>
      <c r="G651" s="35"/>
      <c r="H651" s="35"/>
      <c r="I651" s="29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x14ac:dyDescent="0.35">
      <c r="A652" s="58"/>
      <c r="B652" s="8"/>
      <c r="C652" s="8"/>
      <c r="D652" s="8"/>
      <c r="E652" s="26"/>
      <c r="F652" s="35"/>
      <c r="G652" s="35"/>
      <c r="H652" s="35"/>
      <c r="I652" s="29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x14ac:dyDescent="0.35">
      <c r="A653" s="58"/>
      <c r="B653" s="8"/>
      <c r="C653" s="8"/>
      <c r="D653" s="8"/>
      <c r="E653" s="26"/>
      <c r="F653" s="35"/>
      <c r="G653" s="35"/>
      <c r="H653" s="35"/>
      <c r="I653" s="29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x14ac:dyDescent="0.35">
      <c r="A654" s="58"/>
      <c r="B654" s="8"/>
      <c r="C654" s="8"/>
      <c r="D654" s="8"/>
      <c r="E654" s="26"/>
      <c r="F654" s="35"/>
      <c r="G654" s="35"/>
      <c r="H654" s="35"/>
      <c r="I654" s="29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x14ac:dyDescent="0.35">
      <c r="A655" s="58"/>
      <c r="B655" s="8"/>
      <c r="C655" s="8"/>
      <c r="D655" s="8"/>
      <c r="E655" s="26"/>
      <c r="F655" s="35"/>
      <c r="G655" s="35"/>
      <c r="H655" s="35"/>
      <c r="I655" s="29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x14ac:dyDescent="0.35">
      <c r="A656" s="58"/>
      <c r="B656" s="8"/>
      <c r="C656" s="8"/>
      <c r="D656" s="8"/>
      <c r="E656" s="26"/>
      <c r="F656" s="35"/>
      <c r="G656" s="35"/>
      <c r="H656" s="35"/>
      <c r="I656" s="29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x14ac:dyDescent="0.35">
      <c r="A657" s="58"/>
      <c r="B657" s="8"/>
      <c r="C657" s="8"/>
      <c r="D657" s="8"/>
      <c r="E657" s="26"/>
      <c r="F657" s="35"/>
      <c r="G657" s="35"/>
      <c r="H657" s="35"/>
      <c r="I657" s="29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x14ac:dyDescent="0.35">
      <c r="A658" s="58"/>
      <c r="B658" s="8"/>
      <c r="C658" s="8"/>
      <c r="D658" s="8"/>
      <c r="E658" s="26"/>
      <c r="F658" s="35"/>
      <c r="G658" s="35"/>
      <c r="H658" s="35"/>
      <c r="I658" s="29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x14ac:dyDescent="0.35">
      <c r="A659" s="58"/>
      <c r="B659" s="8"/>
      <c r="C659" s="8"/>
      <c r="D659" s="8"/>
      <c r="E659" s="26"/>
      <c r="F659" s="35"/>
      <c r="G659" s="35"/>
      <c r="H659" s="35"/>
      <c r="I659" s="29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x14ac:dyDescent="0.35">
      <c r="A660" s="58"/>
      <c r="B660" s="8"/>
      <c r="C660" s="8"/>
      <c r="D660" s="8"/>
      <c r="E660" s="26"/>
      <c r="F660" s="35"/>
      <c r="G660" s="35"/>
      <c r="H660" s="35"/>
      <c r="I660" s="29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x14ac:dyDescent="0.35">
      <c r="A661" s="58"/>
      <c r="B661" s="8"/>
      <c r="C661" s="8"/>
      <c r="D661" s="8"/>
      <c r="E661" s="26"/>
      <c r="F661" s="35"/>
      <c r="G661" s="35"/>
      <c r="H661" s="35"/>
      <c r="I661" s="29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x14ac:dyDescent="0.35">
      <c r="A662" s="58"/>
      <c r="B662" s="8"/>
      <c r="C662" s="8"/>
      <c r="D662" s="8"/>
      <c r="E662" s="26"/>
      <c r="F662" s="35"/>
      <c r="G662" s="35"/>
      <c r="H662" s="35"/>
      <c r="I662" s="29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x14ac:dyDescent="0.35">
      <c r="A663" s="58"/>
      <c r="B663" s="8"/>
      <c r="C663" s="8"/>
      <c r="D663" s="8"/>
      <c r="E663" s="26"/>
      <c r="F663" s="35"/>
      <c r="G663" s="35"/>
      <c r="H663" s="35"/>
      <c r="I663" s="29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x14ac:dyDescent="0.35">
      <c r="A664" s="58"/>
      <c r="B664" s="8"/>
      <c r="C664" s="8"/>
      <c r="D664" s="8"/>
      <c r="E664" s="26"/>
      <c r="F664" s="35"/>
      <c r="G664" s="35"/>
      <c r="H664" s="35"/>
      <c r="I664" s="29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x14ac:dyDescent="0.35">
      <c r="A665" s="58"/>
      <c r="B665" s="8"/>
      <c r="C665" s="8"/>
      <c r="D665" s="8"/>
      <c r="E665" s="26"/>
      <c r="F665" s="35"/>
      <c r="G665" s="35"/>
      <c r="H665" s="35"/>
      <c r="I665" s="29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x14ac:dyDescent="0.35">
      <c r="A666" s="58"/>
      <c r="B666" s="8"/>
      <c r="C666" s="8"/>
      <c r="D666" s="8"/>
      <c r="E666" s="26"/>
      <c r="F666" s="35"/>
      <c r="G666" s="35"/>
      <c r="H666" s="35"/>
      <c r="I666" s="29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x14ac:dyDescent="0.35">
      <c r="A667" s="58"/>
      <c r="B667" s="8"/>
      <c r="C667" s="8"/>
      <c r="D667" s="8"/>
      <c r="E667" s="26"/>
      <c r="F667" s="35"/>
      <c r="G667" s="35"/>
      <c r="H667" s="35"/>
      <c r="I667" s="29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x14ac:dyDescent="0.35">
      <c r="A668" s="58"/>
      <c r="B668" s="8"/>
      <c r="C668" s="8"/>
      <c r="D668" s="8"/>
      <c r="E668" s="26"/>
      <c r="F668" s="35"/>
      <c r="G668" s="35"/>
      <c r="H668" s="35"/>
      <c r="I668" s="29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x14ac:dyDescent="0.35">
      <c r="A669" s="58"/>
      <c r="B669" s="8"/>
      <c r="C669" s="8"/>
      <c r="D669" s="8"/>
      <c r="E669" s="26"/>
      <c r="F669" s="35"/>
      <c r="G669" s="35"/>
      <c r="H669" s="35"/>
      <c r="I669" s="29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x14ac:dyDescent="0.35">
      <c r="A670" s="58"/>
      <c r="B670" s="8"/>
      <c r="C670" s="8"/>
      <c r="D670" s="8"/>
      <c r="E670" s="26"/>
      <c r="F670" s="35"/>
      <c r="G670" s="35"/>
      <c r="H670" s="35"/>
      <c r="I670" s="29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x14ac:dyDescent="0.35">
      <c r="A671" s="58"/>
      <c r="B671" s="8"/>
      <c r="C671" s="8"/>
      <c r="D671" s="8"/>
      <c r="E671" s="26"/>
      <c r="F671" s="35"/>
      <c r="G671" s="35"/>
      <c r="H671" s="35"/>
      <c r="I671" s="29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x14ac:dyDescent="0.35">
      <c r="A672" s="58"/>
      <c r="B672" s="8"/>
      <c r="C672" s="8"/>
      <c r="D672" s="8"/>
      <c r="E672" s="26"/>
      <c r="F672" s="35"/>
      <c r="G672" s="35"/>
      <c r="H672" s="35"/>
      <c r="I672" s="29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x14ac:dyDescent="0.35">
      <c r="A673" s="58"/>
      <c r="B673" s="8"/>
      <c r="C673" s="8"/>
      <c r="D673" s="8"/>
      <c r="E673" s="26"/>
      <c r="F673" s="35"/>
      <c r="G673" s="35"/>
      <c r="H673" s="35"/>
      <c r="I673" s="29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x14ac:dyDescent="0.35">
      <c r="A674" s="58"/>
      <c r="B674" s="8"/>
      <c r="C674" s="8"/>
      <c r="D674" s="8"/>
      <c r="E674" s="26"/>
      <c r="F674" s="35"/>
      <c r="G674" s="35"/>
      <c r="H674" s="35"/>
      <c r="I674" s="29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x14ac:dyDescent="0.35">
      <c r="A675" s="58"/>
      <c r="B675" s="8"/>
      <c r="C675" s="8"/>
      <c r="D675" s="8"/>
      <c r="E675" s="26"/>
      <c r="F675" s="35"/>
      <c r="G675" s="35"/>
      <c r="H675" s="35"/>
      <c r="I675" s="29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x14ac:dyDescent="0.35">
      <c r="A676" s="58"/>
      <c r="B676" s="8"/>
      <c r="C676" s="8"/>
      <c r="D676" s="8"/>
      <c r="E676" s="26"/>
      <c r="F676" s="35"/>
      <c r="G676" s="35"/>
      <c r="H676" s="35"/>
      <c r="I676" s="29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x14ac:dyDescent="0.35">
      <c r="A677" s="58"/>
      <c r="B677" s="8"/>
      <c r="C677" s="8"/>
      <c r="D677" s="8"/>
      <c r="E677" s="26"/>
      <c r="F677" s="35"/>
      <c r="G677" s="35"/>
      <c r="H677" s="35"/>
      <c r="I677" s="29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x14ac:dyDescent="0.35">
      <c r="A678" s="58"/>
      <c r="B678" s="8"/>
      <c r="C678" s="8"/>
      <c r="D678" s="8"/>
      <c r="E678" s="26"/>
      <c r="F678" s="35"/>
      <c r="G678" s="35"/>
      <c r="H678" s="35"/>
      <c r="I678" s="29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x14ac:dyDescent="0.35">
      <c r="A679" s="58"/>
      <c r="B679" s="8"/>
      <c r="C679" s="8"/>
      <c r="D679" s="8"/>
      <c r="E679" s="26"/>
      <c r="F679" s="35"/>
      <c r="G679" s="35"/>
      <c r="H679" s="35"/>
      <c r="I679" s="29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x14ac:dyDescent="0.35">
      <c r="A680" s="58"/>
      <c r="B680" s="8"/>
      <c r="C680" s="8"/>
      <c r="D680" s="8"/>
      <c r="E680" s="26"/>
      <c r="F680" s="35"/>
      <c r="G680" s="35"/>
      <c r="H680" s="35"/>
      <c r="I680" s="29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x14ac:dyDescent="0.35">
      <c r="A681" s="58"/>
      <c r="B681" s="8"/>
      <c r="C681" s="8"/>
      <c r="D681" s="8"/>
      <c r="E681" s="26"/>
      <c r="F681" s="35"/>
      <c r="G681" s="35"/>
      <c r="H681" s="35"/>
      <c r="I681" s="29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x14ac:dyDescent="0.35">
      <c r="A682" s="58"/>
      <c r="B682" s="8"/>
      <c r="C682" s="8"/>
      <c r="D682" s="8"/>
      <c r="E682" s="26"/>
      <c r="F682" s="35"/>
      <c r="G682" s="35"/>
      <c r="H682" s="35"/>
      <c r="I682" s="29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x14ac:dyDescent="0.35">
      <c r="A683" s="58"/>
      <c r="B683" s="8"/>
      <c r="C683" s="8"/>
      <c r="D683" s="8"/>
      <c r="E683" s="26"/>
      <c r="F683" s="35"/>
      <c r="G683" s="35"/>
      <c r="H683" s="35"/>
      <c r="I683" s="29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x14ac:dyDescent="0.35">
      <c r="A684" s="58"/>
      <c r="B684" s="8"/>
      <c r="C684" s="8"/>
      <c r="D684" s="8"/>
      <c r="E684" s="26"/>
      <c r="F684" s="35"/>
      <c r="G684" s="35"/>
      <c r="H684" s="35"/>
      <c r="I684" s="29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x14ac:dyDescent="0.35">
      <c r="A685" s="58"/>
      <c r="B685" s="8"/>
      <c r="C685" s="8"/>
      <c r="D685" s="8"/>
      <c r="E685" s="26"/>
      <c r="F685" s="35"/>
      <c r="G685" s="35"/>
      <c r="H685" s="35"/>
      <c r="I685" s="29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x14ac:dyDescent="0.35">
      <c r="A686" s="58"/>
      <c r="B686" s="8"/>
      <c r="C686" s="8"/>
      <c r="D686" s="8"/>
      <c r="E686" s="26"/>
      <c r="F686" s="35"/>
      <c r="G686" s="35"/>
      <c r="H686" s="35"/>
      <c r="I686" s="29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x14ac:dyDescent="0.35">
      <c r="A687" s="58"/>
      <c r="B687" s="8"/>
      <c r="C687" s="8"/>
      <c r="D687" s="8"/>
      <c r="E687" s="26"/>
      <c r="F687" s="35"/>
      <c r="G687" s="35"/>
      <c r="H687" s="35"/>
      <c r="I687" s="29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x14ac:dyDescent="0.35">
      <c r="A688" s="58"/>
      <c r="B688" s="8"/>
      <c r="C688" s="8"/>
      <c r="D688" s="8"/>
      <c r="E688" s="26"/>
      <c r="F688" s="35"/>
      <c r="G688" s="35"/>
      <c r="H688" s="35"/>
      <c r="I688" s="29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x14ac:dyDescent="0.35">
      <c r="A689" s="58"/>
      <c r="B689" s="8"/>
      <c r="C689" s="8"/>
      <c r="D689" s="8"/>
      <c r="E689" s="26"/>
      <c r="F689" s="35"/>
      <c r="G689" s="35"/>
      <c r="H689" s="35"/>
      <c r="I689" s="29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x14ac:dyDescent="0.35">
      <c r="A690" s="58"/>
      <c r="B690" s="8"/>
      <c r="C690" s="8"/>
      <c r="D690" s="8"/>
      <c r="E690" s="26"/>
      <c r="F690" s="35"/>
      <c r="G690" s="35"/>
      <c r="H690" s="35"/>
      <c r="I690" s="29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x14ac:dyDescent="0.35">
      <c r="A691" s="58"/>
      <c r="B691" s="8"/>
      <c r="C691" s="8"/>
      <c r="D691" s="8"/>
      <c r="E691" s="26"/>
      <c r="F691" s="35"/>
      <c r="G691" s="35"/>
      <c r="H691" s="35"/>
      <c r="I691" s="29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x14ac:dyDescent="0.35">
      <c r="A692" s="58"/>
      <c r="B692" s="8"/>
      <c r="C692" s="8"/>
      <c r="D692" s="8"/>
      <c r="E692" s="26"/>
      <c r="F692" s="35"/>
      <c r="G692" s="35"/>
      <c r="H692" s="35"/>
      <c r="I692" s="29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x14ac:dyDescent="0.35">
      <c r="A693" s="58"/>
      <c r="B693" s="8"/>
      <c r="C693" s="8"/>
      <c r="D693" s="8"/>
      <c r="E693" s="26"/>
      <c r="F693" s="35"/>
      <c r="G693" s="35"/>
      <c r="H693" s="35"/>
      <c r="I693" s="29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x14ac:dyDescent="0.35">
      <c r="A694" s="58"/>
      <c r="B694" s="8"/>
      <c r="C694" s="8"/>
      <c r="D694" s="8"/>
      <c r="E694" s="26"/>
      <c r="F694" s="35"/>
      <c r="G694" s="35"/>
      <c r="H694" s="35"/>
      <c r="I694" s="29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x14ac:dyDescent="0.35">
      <c r="A695" s="58"/>
      <c r="B695" s="8"/>
      <c r="C695" s="8"/>
      <c r="D695" s="8"/>
      <c r="E695" s="26"/>
      <c r="F695" s="35"/>
      <c r="G695" s="35"/>
      <c r="H695" s="35"/>
      <c r="I695" s="29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x14ac:dyDescent="0.35">
      <c r="A696" s="58"/>
      <c r="B696" s="8"/>
      <c r="C696" s="8"/>
      <c r="D696" s="8"/>
      <c r="E696" s="26"/>
      <c r="F696" s="35"/>
      <c r="G696" s="35"/>
      <c r="H696" s="35"/>
      <c r="I696" s="29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x14ac:dyDescent="0.35">
      <c r="A697" s="58"/>
      <c r="B697" s="8"/>
      <c r="C697" s="8"/>
      <c r="D697" s="8"/>
      <c r="E697" s="26"/>
      <c r="F697" s="35"/>
      <c r="G697" s="35"/>
      <c r="H697" s="35"/>
      <c r="I697" s="29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x14ac:dyDescent="0.35">
      <c r="A698" s="58"/>
      <c r="B698" s="8"/>
      <c r="C698" s="8"/>
      <c r="D698" s="8"/>
      <c r="E698" s="26"/>
      <c r="F698" s="35"/>
      <c r="G698" s="35"/>
      <c r="H698" s="35"/>
      <c r="I698" s="29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x14ac:dyDescent="0.35">
      <c r="A699" s="58"/>
      <c r="B699" s="8"/>
      <c r="C699" s="8"/>
      <c r="D699" s="8"/>
      <c r="E699" s="26"/>
      <c r="F699" s="35"/>
      <c r="G699" s="35"/>
      <c r="H699" s="35"/>
      <c r="I699" s="29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x14ac:dyDescent="0.35">
      <c r="A700" s="58"/>
      <c r="B700" s="8"/>
      <c r="C700" s="8"/>
      <c r="D700" s="8"/>
      <c r="E700" s="26"/>
      <c r="F700" s="35"/>
      <c r="G700" s="35"/>
      <c r="H700" s="35"/>
      <c r="I700" s="29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x14ac:dyDescent="0.35">
      <c r="A701" s="58"/>
      <c r="B701" s="8"/>
      <c r="C701" s="8"/>
      <c r="D701" s="8"/>
      <c r="E701" s="26"/>
      <c r="F701" s="35"/>
      <c r="G701" s="35"/>
      <c r="H701" s="35"/>
      <c r="I701" s="29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x14ac:dyDescent="0.35">
      <c r="A702" s="58"/>
      <c r="B702" s="8"/>
      <c r="C702" s="8"/>
      <c r="D702" s="8"/>
      <c r="E702" s="26"/>
      <c r="F702" s="35"/>
      <c r="G702" s="35"/>
      <c r="H702" s="35"/>
      <c r="I702" s="29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x14ac:dyDescent="0.35">
      <c r="A703" s="58"/>
      <c r="B703" s="8"/>
      <c r="C703" s="8"/>
      <c r="D703" s="8"/>
      <c r="E703" s="26"/>
      <c r="F703" s="35"/>
      <c r="G703" s="35"/>
      <c r="H703" s="35"/>
      <c r="I703" s="29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x14ac:dyDescent="0.35">
      <c r="A704" s="58"/>
      <c r="B704" s="8"/>
      <c r="C704" s="8"/>
      <c r="D704" s="8"/>
      <c r="E704" s="26"/>
      <c r="F704" s="35"/>
      <c r="G704" s="35"/>
      <c r="H704" s="35"/>
      <c r="I704" s="29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x14ac:dyDescent="0.35">
      <c r="A705" s="58"/>
      <c r="B705" s="8"/>
      <c r="C705" s="8"/>
      <c r="D705" s="8"/>
      <c r="E705" s="26"/>
      <c r="F705" s="35"/>
      <c r="G705" s="35"/>
      <c r="H705" s="35"/>
      <c r="I705" s="29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x14ac:dyDescent="0.35">
      <c r="A706" s="58"/>
      <c r="B706" s="8"/>
      <c r="C706" s="8"/>
      <c r="D706" s="8"/>
      <c r="E706" s="26"/>
      <c r="F706" s="35"/>
      <c r="G706" s="35"/>
      <c r="H706" s="35"/>
      <c r="I706" s="29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x14ac:dyDescent="0.35">
      <c r="A707" s="58"/>
      <c r="B707" s="8"/>
      <c r="C707" s="8"/>
      <c r="D707" s="8"/>
      <c r="E707" s="26"/>
      <c r="F707" s="35"/>
      <c r="G707" s="35"/>
      <c r="H707" s="35"/>
      <c r="I707" s="29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x14ac:dyDescent="0.35">
      <c r="A708" s="58"/>
      <c r="B708" s="8"/>
      <c r="C708" s="8"/>
      <c r="D708" s="8"/>
      <c r="E708" s="26"/>
      <c r="F708" s="35"/>
      <c r="G708" s="35"/>
      <c r="H708" s="35"/>
      <c r="I708" s="29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x14ac:dyDescent="0.35">
      <c r="A709" s="58"/>
      <c r="B709" s="8"/>
      <c r="C709" s="8"/>
      <c r="D709" s="8"/>
      <c r="E709" s="26"/>
      <c r="F709" s="35"/>
      <c r="G709" s="35"/>
      <c r="H709" s="35"/>
      <c r="I709" s="29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x14ac:dyDescent="0.35">
      <c r="A710" s="58"/>
      <c r="B710" s="8"/>
      <c r="C710" s="8"/>
      <c r="D710" s="8"/>
      <c r="E710" s="26"/>
      <c r="F710" s="35"/>
      <c r="G710" s="35"/>
      <c r="H710" s="35"/>
      <c r="I710" s="29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x14ac:dyDescent="0.35">
      <c r="A711" s="58"/>
      <c r="B711" s="8"/>
      <c r="C711" s="8"/>
      <c r="D711" s="8"/>
      <c r="E711" s="26"/>
      <c r="F711" s="35"/>
      <c r="G711" s="35"/>
      <c r="H711" s="35"/>
      <c r="I711" s="29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x14ac:dyDescent="0.35">
      <c r="A712" s="58"/>
      <c r="B712" s="8"/>
      <c r="C712" s="8"/>
      <c r="D712" s="8"/>
      <c r="E712" s="26"/>
      <c r="F712" s="35"/>
      <c r="G712" s="35"/>
      <c r="H712" s="35"/>
      <c r="I712" s="29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x14ac:dyDescent="0.35">
      <c r="A713" s="58"/>
      <c r="B713" s="8"/>
      <c r="C713" s="8"/>
      <c r="D713" s="8"/>
      <c r="E713" s="26"/>
      <c r="F713" s="35"/>
      <c r="G713" s="35"/>
      <c r="H713" s="35"/>
      <c r="I713" s="29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x14ac:dyDescent="0.35">
      <c r="A714" s="58"/>
      <c r="B714" s="8"/>
      <c r="C714" s="8"/>
      <c r="D714" s="8"/>
      <c r="E714" s="26"/>
      <c r="F714" s="35"/>
      <c r="G714" s="35"/>
      <c r="H714" s="35"/>
      <c r="I714" s="29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x14ac:dyDescent="0.35">
      <c r="A715" s="58"/>
      <c r="B715" s="8"/>
      <c r="C715" s="8"/>
      <c r="D715" s="8"/>
      <c r="E715" s="26"/>
      <c r="F715" s="35"/>
      <c r="G715" s="35"/>
      <c r="H715" s="35"/>
      <c r="I715" s="29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x14ac:dyDescent="0.35">
      <c r="A716" s="58"/>
      <c r="B716" s="8"/>
      <c r="C716" s="8"/>
      <c r="D716" s="8"/>
      <c r="E716" s="26"/>
      <c r="F716" s="35"/>
      <c r="G716" s="35"/>
      <c r="H716" s="35"/>
      <c r="I716" s="29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x14ac:dyDescent="0.35">
      <c r="A717" s="58"/>
      <c r="B717" s="8"/>
      <c r="C717" s="8"/>
      <c r="D717" s="8"/>
      <c r="E717" s="26"/>
      <c r="F717" s="35"/>
      <c r="G717" s="35"/>
      <c r="H717" s="35"/>
      <c r="I717" s="29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x14ac:dyDescent="0.35">
      <c r="A718" s="58"/>
      <c r="B718" s="8"/>
      <c r="C718" s="8"/>
      <c r="D718" s="8"/>
      <c r="E718" s="26"/>
      <c r="F718" s="35"/>
      <c r="G718" s="35"/>
      <c r="H718" s="35"/>
      <c r="I718" s="29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x14ac:dyDescent="0.35">
      <c r="A719" s="58"/>
      <c r="B719" s="8"/>
      <c r="C719" s="8"/>
      <c r="D719" s="8"/>
      <c r="E719" s="26"/>
      <c r="F719" s="35"/>
      <c r="G719" s="35"/>
      <c r="H719" s="35"/>
      <c r="I719" s="29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x14ac:dyDescent="0.35">
      <c r="A720" s="58"/>
      <c r="B720" s="8"/>
      <c r="C720" s="8"/>
      <c r="D720" s="8"/>
      <c r="E720" s="26"/>
      <c r="F720" s="35"/>
      <c r="G720" s="35"/>
      <c r="H720" s="35"/>
      <c r="I720" s="29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x14ac:dyDescent="0.35">
      <c r="A721" s="58"/>
      <c r="B721" s="8"/>
      <c r="C721" s="8"/>
      <c r="D721" s="8"/>
      <c r="E721" s="26"/>
      <c r="F721" s="35"/>
      <c r="G721" s="35"/>
      <c r="H721" s="35"/>
      <c r="I721" s="29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x14ac:dyDescent="0.35">
      <c r="A722" s="58"/>
      <c r="B722" s="8"/>
      <c r="C722" s="8"/>
      <c r="D722" s="8"/>
      <c r="E722" s="26"/>
      <c r="F722" s="35"/>
      <c r="G722" s="35"/>
      <c r="H722" s="35"/>
      <c r="I722" s="29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x14ac:dyDescent="0.35">
      <c r="A723" s="58"/>
      <c r="B723" s="8"/>
      <c r="C723" s="8"/>
      <c r="D723" s="8"/>
      <c r="E723" s="26"/>
      <c r="F723" s="35"/>
      <c r="G723" s="35"/>
      <c r="H723" s="35"/>
      <c r="I723" s="29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x14ac:dyDescent="0.35">
      <c r="A724" s="58"/>
      <c r="B724" s="8"/>
      <c r="C724" s="8"/>
      <c r="D724" s="8"/>
      <c r="E724" s="26"/>
      <c r="F724" s="35"/>
      <c r="G724" s="35"/>
      <c r="H724" s="35"/>
      <c r="I724" s="29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x14ac:dyDescent="0.35">
      <c r="A725" s="58"/>
      <c r="B725" s="8"/>
      <c r="C725" s="8"/>
      <c r="D725" s="8"/>
      <c r="E725" s="26"/>
      <c r="F725" s="35"/>
      <c r="G725" s="35"/>
      <c r="H725" s="35"/>
      <c r="I725" s="29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x14ac:dyDescent="0.35">
      <c r="A726" s="58"/>
      <c r="B726" s="8"/>
      <c r="C726" s="8"/>
      <c r="D726" s="8"/>
      <c r="E726" s="26"/>
      <c r="F726" s="35"/>
      <c r="G726" s="35"/>
      <c r="H726" s="35"/>
      <c r="I726" s="29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x14ac:dyDescent="0.35">
      <c r="A727" s="58"/>
      <c r="B727" s="8"/>
      <c r="C727" s="8"/>
      <c r="D727" s="8"/>
      <c r="E727" s="26"/>
      <c r="F727" s="35"/>
      <c r="G727" s="35"/>
      <c r="H727" s="35"/>
      <c r="I727" s="29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x14ac:dyDescent="0.35">
      <c r="A728" s="58"/>
      <c r="B728" s="8"/>
      <c r="C728" s="8"/>
      <c r="D728" s="8"/>
      <c r="E728" s="26"/>
      <c r="F728" s="35"/>
      <c r="G728" s="35"/>
      <c r="H728" s="35"/>
      <c r="I728" s="29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x14ac:dyDescent="0.35">
      <c r="A729" s="58"/>
      <c r="B729" s="8"/>
      <c r="C729" s="8"/>
      <c r="D729" s="8"/>
      <c r="E729" s="26"/>
      <c r="F729" s="35"/>
      <c r="G729" s="35"/>
      <c r="H729" s="35"/>
      <c r="I729" s="29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x14ac:dyDescent="0.35">
      <c r="A730" s="58"/>
      <c r="B730" s="8"/>
      <c r="C730" s="8"/>
      <c r="D730" s="8"/>
      <c r="E730" s="26"/>
      <c r="F730" s="35"/>
      <c r="G730" s="35"/>
      <c r="H730" s="35"/>
      <c r="I730" s="29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x14ac:dyDescent="0.35">
      <c r="A731" s="58"/>
      <c r="B731" s="8"/>
      <c r="C731" s="8"/>
      <c r="D731" s="8"/>
      <c r="E731" s="26"/>
      <c r="F731" s="35"/>
      <c r="G731" s="35"/>
      <c r="H731" s="35"/>
      <c r="I731" s="29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x14ac:dyDescent="0.35">
      <c r="A732" s="58"/>
      <c r="B732" s="8"/>
      <c r="C732" s="8"/>
      <c r="D732" s="8"/>
      <c r="E732" s="26"/>
      <c r="F732" s="35"/>
      <c r="G732" s="35"/>
      <c r="H732" s="35"/>
      <c r="I732" s="29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x14ac:dyDescent="0.35">
      <c r="A733" s="58"/>
      <c r="B733" s="8"/>
      <c r="C733" s="8"/>
      <c r="D733" s="8"/>
      <c r="E733" s="26"/>
      <c r="F733" s="35"/>
      <c r="G733" s="35"/>
      <c r="H733" s="35"/>
      <c r="I733" s="29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x14ac:dyDescent="0.35">
      <c r="A734" s="58"/>
      <c r="B734" s="8"/>
      <c r="C734" s="8"/>
      <c r="D734" s="8"/>
      <c r="E734" s="26"/>
      <c r="F734" s="35"/>
      <c r="G734" s="35"/>
      <c r="H734" s="35"/>
      <c r="I734" s="29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x14ac:dyDescent="0.35">
      <c r="A735" s="58"/>
      <c r="B735" s="8"/>
      <c r="C735" s="8"/>
      <c r="D735" s="8"/>
      <c r="E735" s="26"/>
      <c r="F735" s="35"/>
      <c r="G735" s="35"/>
      <c r="H735" s="35"/>
      <c r="I735" s="29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x14ac:dyDescent="0.35">
      <c r="A736" s="58"/>
      <c r="B736" s="8"/>
      <c r="C736" s="8"/>
      <c r="D736" s="8"/>
      <c r="E736" s="26"/>
      <c r="F736" s="35"/>
      <c r="G736" s="35"/>
      <c r="H736" s="35"/>
      <c r="I736" s="29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x14ac:dyDescent="0.35">
      <c r="A737" s="58"/>
      <c r="B737" s="8"/>
      <c r="C737" s="8"/>
      <c r="D737" s="8"/>
      <c r="E737" s="26"/>
      <c r="F737" s="35"/>
      <c r="G737" s="35"/>
      <c r="H737" s="35"/>
      <c r="I737" s="29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x14ac:dyDescent="0.35">
      <c r="A738" s="58"/>
      <c r="B738" s="8"/>
      <c r="C738" s="8"/>
      <c r="D738" s="8"/>
      <c r="E738" s="26"/>
      <c r="F738" s="35"/>
      <c r="G738" s="35"/>
      <c r="H738" s="35"/>
      <c r="I738" s="29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x14ac:dyDescent="0.35">
      <c r="A739" s="58"/>
      <c r="B739" s="8"/>
      <c r="C739" s="8"/>
      <c r="D739" s="8"/>
      <c r="E739" s="26"/>
      <c r="F739" s="35"/>
      <c r="G739" s="35"/>
      <c r="H739" s="35"/>
      <c r="I739" s="29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x14ac:dyDescent="0.35">
      <c r="A740" s="58"/>
      <c r="B740" s="8"/>
      <c r="C740" s="8"/>
      <c r="D740" s="8"/>
      <c r="E740" s="26"/>
      <c r="F740" s="35"/>
      <c r="G740" s="35"/>
      <c r="H740" s="35"/>
      <c r="I740" s="29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x14ac:dyDescent="0.35">
      <c r="A741" s="58"/>
      <c r="B741" s="8"/>
      <c r="C741" s="8"/>
      <c r="D741" s="8"/>
      <c r="E741" s="26"/>
      <c r="F741" s="35"/>
      <c r="G741" s="35"/>
      <c r="H741" s="35"/>
      <c r="I741" s="29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x14ac:dyDescent="0.35">
      <c r="A742" s="58"/>
      <c r="B742" s="8"/>
      <c r="C742" s="8"/>
      <c r="D742" s="8"/>
      <c r="E742" s="26"/>
      <c r="F742" s="35"/>
      <c r="G742" s="35"/>
      <c r="H742" s="35"/>
      <c r="I742" s="29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x14ac:dyDescent="0.35">
      <c r="A743" s="58"/>
      <c r="B743" s="8"/>
      <c r="C743" s="8"/>
      <c r="D743" s="8"/>
      <c r="E743" s="26"/>
      <c r="F743" s="35"/>
      <c r="G743" s="35"/>
      <c r="H743" s="35"/>
      <c r="I743" s="29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x14ac:dyDescent="0.35">
      <c r="A744" s="58"/>
      <c r="B744" s="8"/>
      <c r="C744" s="8"/>
      <c r="D744" s="8"/>
      <c r="E744" s="26"/>
      <c r="F744" s="35"/>
      <c r="G744" s="35"/>
      <c r="H744" s="35"/>
      <c r="I744" s="29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x14ac:dyDescent="0.35">
      <c r="A745" s="58"/>
      <c r="B745" s="8"/>
      <c r="C745" s="8"/>
      <c r="D745" s="8"/>
      <c r="E745" s="26"/>
      <c r="F745" s="35"/>
      <c r="G745" s="35"/>
      <c r="H745" s="35"/>
      <c r="I745" s="29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x14ac:dyDescent="0.35">
      <c r="A746" s="58"/>
      <c r="B746" s="8"/>
      <c r="C746" s="8"/>
      <c r="D746" s="8"/>
      <c r="E746" s="26"/>
      <c r="F746" s="35"/>
      <c r="G746" s="35"/>
      <c r="H746" s="35"/>
      <c r="I746" s="29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x14ac:dyDescent="0.35">
      <c r="A747" s="58"/>
      <c r="B747" s="8"/>
      <c r="C747" s="8"/>
      <c r="D747" s="8"/>
      <c r="E747" s="26"/>
      <c r="F747" s="35"/>
      <c r="G747" s="35"/>
      <c r="H747" s="35"/>
      <c r="I747" s="29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x14ac:dyDescent="0.35">
      <c r="A748" s="58"/>
      <c r="B748" s="8"/>
      <c r="C748" s="8"/>
      <c r="D748" s="8"/>
      <c r="E748" s="26"/>
      <c r="F748" s="35"/>
      <c r="G748" s="35"/>
      <c r="H748" s="35"/>
      <c r="I748" s="29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x14ac:dyDescent="0.35">
      <c r="A749" s="58"/>
      <c r="B749" s="8"/>
      <c r="C749" s="8"/>
      <c r="D749" s="8"/>
      <c r="E749" s="26"/>
      <c r="F749" s="35"/>
      <c r="G749" s="35"/>
      <c r="H749" s="35"/>
      <c r="I749" s="29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x14ac:dyDescent="0.35">
      <c r="A750" s="58"/>
      <c r="B750" s="8"/>
      <c r="C750" s="8"/>
      <c r="D750" s="8"/>
      <c r="E750" s="26"/>
      <c r="F750" s="35"/>
      <c r="G750" s="35"/>
      <c r="H750" s="35"/>
      <c r="I750" s="29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x14ac:dyDescent="0.35">
      <c r="A751" s="58"/>
      <c r="B751" s="8"/>
      <c r="C751" s="8"/>
      <c r="D751" s="8"/>
      <c r="E751" s="26"/>
      <c r="F751" s="35"/>
      <c r="G751" s="35"/>
      <c r="H751" s="35"/>
      <c r="I751" s="29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x14ac:dyDescent="0.35">
      <c r="A752" s="58"/>
      <c r="B752" s="8"/>
      <c r="C752" s="8"/>
      <c r="D752" s="8"/>
      <c r="E752" s="26"/>
      <c r="F752" s="35"/>
      <c r="G752" s="35"/>
      <c r="H752" s="35"/>
      <c r="I752" s="29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x14ac:dyDescent="0.35">
      <c r="A753" s="58"/>
      <c r="B753" s="8"/>
      <c r="C753" s="8"/>
      <c r="D753" s="8"/>
      <c r="E753" s="26"/>
      <c r="F753" s="35"/>
      <c r="G753" s="35"/>
      <c r="H753" s="35"/>
      <c r="I753" s="29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x14ac:dyDescent="0.35">
      <c r="A754" s="58"/>
      <c r="B754" s="8"/>
      <c r="C754" s="8"/>
      <c r="D754" s="8"/>
      <c r="E754" s="26"/>
      <c r="F754" s="35"/>
      <c r="G754" s="35"/>
      <c r="H754" s="35"/>
      <c r="I754" s="29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x14ac:dyDescent="0.35">
      <c r="A755" s="58"/>
      <c r="B755" s="8"/>
      <c r="C755" s="8"/>
      <c r="D755" s="8"/>
      <c r="E755" s="26"/>
      <c r="F755" s="35"/>
      <c r="G755" s="35"/>
      <c r="H755" s="35"/>
      <c r="I755" s="29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x14ac:dyDescent="0.35">
      <c r="A756" s="58"/>
      <c r="B756" s="8"/>
      <c r="C756" s="8"/>
      <c r="D756" s="8"/>
      <c r="E756" s="26"/>
      <c r="F756" s="35"/>
      <c r="G756" s="35"/>
      <c r="H756" s="35"/>
      <c r="I756" s="29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x14ac:dyDescent="0.35">
      <c r="A757" s="58"/>
      <c r="B757" s="8"/>
      <c r="C757" s="8"/>
      <c r="D757" s="8"/>
      <c r="E757" s="26"/>
      <c r="F757" s="35"/>
      <c r="G757" s="35"/>
      <c r="H757" s="35"/>
      <c r="I757" s="29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x14ac:dyDescent="0.35">
      <c r="A758" s="58"/>
      <c r="B758" s="8"/>
      <c r="C758" s="8"/>
      <c r="D758" s="8"/>
      <c r="E758" s="26"/>
      <c r="F758" s="35"/>
      <c r="G758" s="35"/>
      <c r="H758" s="35"/>
      <c r="I758" s="29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x14ac:dyDescent="0.35">
      <c r="A759" s="58"/>
      <c r="B759" s="8"/>
      <c r="C759" s="8"/>
      <c r="D759" s="8"/>
      <c r="E759" s="26"/>
      <c r="F759" s="35"/>
      <c r="G759" s="35"/>
      <c r="H759" s="35"/>
      <c r="I759" s="29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x14ac:dyDescent="0.35">
      <c r="A760" s="58"/>
      <c r="B760" s="8"/>
      <c r="C760" s="8"/>
      <c r="D760" s="8"/>
      <c r="E760" s="26"/>
      <c r="F760" s="35"/>
      <c r="G760" s="35"/>
      <c r="H760" s="35"/>
      <c r="I760" s="29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x14ac:dyDescent="0.35">
      <c r="A761" s="58"/>
      <c r="B761" s="8"/>
      <c r="C761" s="8"/>
      <c r="D761" s="8"/>
      <c r="E761" s="26"/>
      <c r="F761" s="35"/>
      <c r="G761" s="35"/>
      <c r="H761" s="35"/>
      <c r="I761" s="29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x14ac:dyDescent="0.35">
      <c r="A762" s="58"/>
      <c r="B762" s="8"/>
      <c r="C762" s="8"/>
      <c r="D762" s="8"/>
      <c r="E762" s="26"/>
      <c r="F762" s="35"/>
      <c r="G762" s="35"/>
      <c r="H762" s="35"/>
      <c r="I762" s="29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x14ac:dyDescent="0.35">
      <c r="A763" s="58"/>
      <c r="B763" s="8"/>
      <c r="C763" s="8"/>
      <c r="D763" s="8"/>
      <c r="E763" s="26"/>
      <c r="F763" s="35"/>
      <c r="G763" s="35"/>
      <c r="H763" s="35"/>
      <c r="I763" s="29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x14ac:dyDescent="0.35">
      <c r="A764" s="58"/>
      <c r="B764" s="8"/>
      <c r="C764" s="8"/>
      <c r="D764" s="8"/>
      <c r="E764" s="26"/>
      <c r="F764" s="35"/>
      <c r="G764" s="35"/>
      <c r="H764" s="35"/>
      <c r="I764" s="29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x14ac:dyDescent="0.35">
      <c r="A765" s="58"/>
      <c r="B765" s="8"/>
      <c r="C765" s="8"/>
      <c r="D765" s="8"/>
      <c r="E765" s="26"/>
      <c r="F765" s="35"/>
      <c r="G765" s="35"/>
      <c r="H765" s="35"/>
      <c r="I765" s="29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x14ac:dyDescent="0.35">
      <c r="A766" s="58"/>
      <c r="B766" s="8"/>
      <c r="C766" s="8"/>
      <c r="D766" s="8"/>
      <c r="E766" s="26"/>
      <c r="F766" s="35"/>
      <c r="G766" s="35"/>
      <c r="H766" s="35"/>
      <c r="I766" s="29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x14ac:dyDescent="0.35">
      <c r="A767" s="58"/>
      <c r="B767" s="8"/>
      <c r="C767" s="8"/>
      <c r="D767" s="8"/>
      <c r="E767" s="26"/>
      <c r="F767" s="35"/>
      <c r="G767" s="35"/>
      <c r="H767" s="35"/>
      <c r="I767" s="29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x14ac:dyDescent="0.35">
      <c r="A768" s="58"/>
      <c r="B768" s="8"/>
      <c r="C768" s="8"/>
      <c r="D768" s="8"/>
      <c r="E768" s="26"/>
      <c r="F768" s="35"/>
      <c r="G768" s="35"/>
      <c r="H768" s="35"/>
      <c r="I768" s="29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x14ac:dyDescent="0.35">
      <c r="A769" s="58"/>
      <c r="B769" s="8"/>
      <c r="C769" s="8"/>
      <c r="D769" s="8"/>
      <c r="E769" s="26"/>
      <c r="F769" s="35"/>
      <c r="G769" s="35"/>
      <c r="H769" s="35"/>
      <c r="I769" s="29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x14ac:dyDescent="0.35">
      <c r="A770" s="58"/>
      <c r="B770" s="8"/>
      <c r="C770" s="8"/>
      <c r="D770" s="8"/>
      <c r="E770" s="26"/>
      <c r="F770" s="35"/>
      <c r="G770" s="35"/>
      <c r="H770" s="35"/>
      <c r="I770" s="29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x14ac:dyDescent="0.35">
      <c r="A771" s="58"/>
      <c r="B771" s="8"/>
      <c r="C771" s="8"/>
      <c r="D771" s="8"/>
      <c r="E771" s="26"/>
      <c r="F771" s="35"/>
      <c r="G771" s="35"/>
      <c r="H771" s="35"/>
      <c r="I771" s="29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x14ac:dyDescent="0.35">
      <c r="A772" s="58"/>
      <c r="B772" s="8"/>
      <c r="C772" s="8"/>
      <c r="D772" s="8"/>
      <c r="E772" s="26"/>
      <c r="F772" s="35"/>
      <c r="G772" s="35"/>
      <c r="H772" s="35"/>
      <c r="I772" s="29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x14ac:dyDescent="0.35">
      <c r="A773" s="58"/>
      <c r="B773" s="8"/>
      <c r="C773" s="8"/>
      <c r="D773" s="8"/>
      <c r="E773" s="26"/>
      <c r="F773" s="35"/>
      <c r="G773" s="35"/>
      <c r="H773" s="35"/>
      <c r="I773" s="29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x14ac:dyDescent="0.35">
      <c r="A774" s="58"/>
      <c r="B774" s="8"/>
      <c r="C774" s="8"/>
      <c r="D774" s="8"/>
      <c r="E774" s="26"/>
      <c r="F774" s="35"/>
      <c r="G774" s="35"/>
      <c r="H774" s="35"/>
      <c r="I774" s="29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x14ac:dyDescent="0.35">
      <c r="A775" s="58"/>
      <c r="B775" s="8"/>
      <c r="C775" s="8"/>
      <c r="D775" s="8"/>
      <c r="E775" s="26"/>
      <c r="F775" s="35"/>
      <c r="G775" s="35"/>
      <c r="H775" s="35"/>
      <c r="I775" s="29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x14ac:dyDescent="0.35">
      <c r="A776" s="58"/>
      <c r="B776" s="8"/>
      <c r="C776" s="8"/>
      <c r="D776" s="8"/>
      <c r="E776" s="26"/>
      <c r="F776" s="35"/>
      <c r="G776" s="35"/>
      <c r="H776" s="35"/>
      <c r="I776" s="29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x14ac:dyDescent="0.35">
      <c r="A777" s="58"/>
      <c r="B777" s="8"/>
      <c r="C777" s="8"/>
      <c r="D777" s="8"/>
      <c r="E777" s="26"/>
      <c r="F777" s="35"/>
      <c r="G777" s="35"/>
      <c r="H777" s="35"/>
      <c r="I777" s="29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x14ac:dyDescent="0.35">
      <c r="A778" s="58"/>
      <c r="B778" s="8"/>
      <c r="C778" s="8"/>
      <c r="D778" s="8"/>
      <c r="E778" s="26"/>
      <c r="F778" s="35"/>
      <c r="G778" s="35"/>
      <c r="H778" s="35"/>
      <c r="I778" s="29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x14ac:dyDescent="0.35">
      <c r="A779" s="58"/>
      <c r="B779" s="8"/>
      <c r="C779" s="8"/>
      <c r="D779" s="8"/>
      <c r="E779" s="26"/>
      <c r="F779" s="35"/>
      <c r="G779" s="35"/>
      <c r="H779" s="35"/>
      <c r="I779" s="29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x14ac:dyDescent="0.35">
      <c r="A780" s="58"/>
      <c r="B780" s="8"/>
      <c r="C780" s="8"/>
      <c r="D780" s="8"/>
      <c r="E780" s="26"/>
      <c r="F780" s="35"/>
      <c r="G780" s="35"/>
      <c r="H780" s="35"/>
      <c r="I780" s="29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x14ac:dyDescent="0.35">
      <c r="A781" s="58"/>
      <c r="B781" s="8"/>
      <c r="C781" s="8"/>
      <c r="D781" s="8"/>
      <c r="E781" s="26"/>
      <c r="F781" s="35"/>
      <c r="G781" s="35"/>
      <c r="H781" s="35"/>
      <c r="I781" s="29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5">
      <c r="A782" s="58"/>
      <c r="B782" s="8"/>
      <c r="C782" s="8"/>
      <c r="D782" s="8"/>
      <c r="E782" s="26"/>
      <c r="F782" s="35"/>
      <c r="G782" s="35"/>
      <c r="H782" s="35"/>
      <c r="I782" s="29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x14ac:dyDescent="0.35">
      <c r="A783" s="58"/>
      <c r="B783" s="8"/>
      <c r="C783" s="8"/>
      <c r="D783" s="8"/>
      <c r="E783" s="26"/>
      <c r="F783" s="35"/>
      <c r="G783" s="35"/>
      <c r="H783" s="35"/>
      <c r="I783" s="29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x14ac:dyDescent="0.35">
      <c r="A784" s="58"/>
      <c r="B784" s="8"/>
      <c r="C784" s="8"/>
      <c r="D784" s="8"/>
      <c r="E784" s="26"/>
      <c r="F784" s="35"/>
      <c r="G784" s="35"/>
      <c r="H784" s="35"/>
      <c r="I784" s="29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x14ac:dyDescent="0.35">
      <c r="A785" s="58"/>
      <c r="B785" s="8"/>
      <c r="C785" s="8"/>
      <c r="D785" s="8"/>
      <c r="E785" s="26"/>
      <c r="F785" s="35"/>
      <c r="G785" s="35"/>
      <c r="H785" s="35"/>
      <c r="I785" s="29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x14ac:dyDescent="0.35">
      <c r="A786" s="58"/>
      <c r="B786" s="8"/>
      <c r="C786" s="8"/>
      <c r="D786" s="8"/>
      <c r="E786" s="26"/>
      <c r="F786" s="35"/>
      <c r="G786" s="35"/>
      <c r="H786" s="35"/>
      <c r="I786" s="29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x14ac:dyDescent="0.35">
      <c r="A787" s="58"/>
      <c r="B787" s="8"/>
      <c r="C787" s="8"/>
      <c r="D787" s="8"/>
      <c r="E787" s="26"/>
      <c r="F787" s="35"/>
      <c r="G787" s="35"/>
      <c r="H787" s="35"/>
      <c r="I787" s="29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x14ac:dyDescent="0.35">
      <c r="A788" s="58"/>
      <c r="B788" s="8"/>
      <c r="C788" s="8"/>
      <c r="D788" s="8"/>
      <c r="E788" s="26"/>
      <c r="F788" s="35"/>
      <c r="G788" s="35"/>
      <c r="H788" s="35"/>
      <c r="I788" s="29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x14ac:dyDescent="0.35">
      <c r="A789" s="58"/>
      <c r="B789" s="8"/>
      <c r="C789" s="8"/>
      <c r="D789" s="8"/>
      <c r="E789" s="26"/>
      <c r="F789" s="35"/>
      <c r="G789" s="35"/>
      <c r="H789" s="35"/>
      <c r="I789" s="29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x14ac:dyDescent="0.35">
      <c r="A790" s="58"/>
      <c r="B790" s="8"/>
      <c r="C790" s="8"/>
      <c r="D790" s="8"/>
      <c r="E790" s="26"/>
      <c r="F790" s="35"/>
      <c r="G790" s="35"/>
      <c r="H790" s="35"/>
      <c r="I790" s="29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x14ac:dyDescent="0.35">
      <c r="A791" s="58"/>
      <c r="B791" s="8"/>
      <c r="C791" s="8"/>
      <c r="D791" s="8"/>
      <c r="E791" s="26"/>
      <c r="F791" s="35"/>
      <c r="G791" s="35"/>
      <c r="H791" s="35"/>
      <c r="I791" s="29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x14ac:dyDescent="0.35">
      <c r="A792" s="58"/>
      <c r="B792" s="8"/>
      <c r="C792" s="8"/>
      <c r="D792" s="8"/>
      <c r="E792" s="26"/>
      <c r="F792" s="35"/>
      <c r="G792" s="35"/>
      <c r="H792" s="35"/>
      <c r="I792" s="29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x14ac:dyDescent="0.35">
      <c r="A793" s="58"/>
      <c r="B793" s="8"/>
      <c r="C793" s="8"/>
      <c r="D793" s="8"/>
      <c r="E793" s="26"/>
      <c r="F793" s="35"/>
      <c r="G793" s="35"/>
      <c r="H793" s="35"/>
      <c r="I793" s="29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x14ac:dyDescent="0.35">
      <c r="A794" s="58"/>
      <c r="B794" s="8"/>
      <c r="C794" s="8"/>
      <c r="D794" s="8"/>
      <c r="E794" s="26"/>
      <c r="F794" s="35"/>
      <c r="G794" s="35"/>
      <c r="H794" s="35"/>
      <c r="I794" s="29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x14ac:dyDescent="0.35">
      <c r="A795" s="58"/>
      <c r="B795" s="8"/>
      <c r="C795" s="8"/>
      <c r="D795" s="8"/>
      <c r="E795" s="26"/>
      <c r="F795" s="35"/>
      <c r="G795" s="35"/>
      <c r="H795" s="35"/>
      <c r="I795" s="29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x14ac:dyDescent="0.35">
      <c r="A796" s="58"/>
      <c r="B796" s="8"/>
      <c r="C796" s="8"/>
      <c r="D796" s="8"/>
      <c r="E796" s="26"/>
      <c r="F796" s="35"/>
      <c r="G796" s="35"/>
      <c r="H796" s="35"/>
      <c r="I796" s="29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x14ac:dyDescent="0.35">
      <c r="A797" s="58"/>
      <c r="B797" s="8"/>
      <c r="C797" s="8"/>
      <c r="D797" s="8"/>
      <c r="E797" s="26"/>
      <c r="F797" s="35"/>
      <c r="G797" s="35"/>
      <c r="H797" s="35"/>
      <c r="I797" s="29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x14ac:dyDescent="0.35">
      <c r="A798" s="58"/>
      <c r="B798" s="8"/>
      <c r="C798" s="8"/>
      <c r="D798" s="8"/>
      <c r="E798" s="26"/>
      <c r="F798" s="35"/>
      <c r="G798" s="35"/>
      <c r="H798" s="35"/>
      <c r="I798" s="29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x14ac:dyDescent="0.35">
      <c r="A799" s="58"/>
      <c r="B799" s="8"/>
      <c r="C799" s="8"/>
      <c r="D799" s="8"/>
      <c r="E799" s="26"/>
      <c r="F799" s="35"/>
      <c r="G799" s="35"/>
      <c r="H799" s="35"/>
      <c r="I799" s="29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x14ac:dyDescent="0.35">
      <c r="A800" s="58"/>
      <c r="B800" s="8"/>
      <c r="C800" s="8"/>
      <c r="D800" s="8"/>
      <c r="E800" s="26"/>
      <c r="F800" s="35"/>
      <c r="G800" s="35"/>
      <c r="H800" s="35"/>
      <c r="I800" s="29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x14ac:dyDescent="0.35">
      <c r="A801" s="58"/>
      <c r="B801" s="8"/>
      <c r="C801" s="8"/>
      <c r="D801" s="8"/>
      <c r="E801" s="26"/>
      <c r="F801" s="35"/>
      <c r="G801" s="35"/>
      <c r="H801" s="35"/>
      <c r="I801" s="29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x14ac:dyDescent="0.35">
      <c r="A802" s="58"/>
      <c r="B802" s="8"/>
      <c r="C802" s="8"/>
      <c r="D802" s="8"/>
      <c r="E802" s="26"/>
      <c r="F802" s="35"/>
      <c r="G802" s="35"/>
      <c r="H802" s="35"/>
      <c r="I802" s="29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x14ac:dyDescent="0.35">
      <c r="A803" s="58"/>
      <c r="B803" s="8"/>
      <c r="C803" s="8"/>
      <c r="D803" s="8"/>
      <c r="E803" s="26"/>
      <c r="F803" s="35"/>
      <c r="G803" s="35"/>
      <c r="H803" s="35"/>
      <c r="I803" s="29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x14ac:dyDescent="0.35">
      <c r="A804" s="58"/>
      <c r="B804" s="8"/>
      <c r="C804" s="8"/>
      <c r="D804" s="8"/>
      <c r="E804" s="26"/>
      <c r="F804" s="35"/>
      <c r="G804" s="35"/>
      <c r="H804" s="35"/>
      <c r="I804" s="29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x14ac:dyDescent="0.35">
      <c r="A805" s="58"/>
      <c r="B805" s="8"/>
      <c r="C805" s="8"/>
      <c r="D805" s="8"/>
      <c r="E805" s="26"/>
      <c r="F805" s="35"/>
      <c r="G805" s="35"/>
      <c r="H805" s="35"/>
      <c r="I805" s="29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x14ac:dyDescent="0.35">
      <c r="A806" s="58"/>
      <c r="B806" s="8"/>
      <c r="C806" s="8"/>
      <c r="D806" s="8"/>
      <c r="E806" s="26"/>
      <c r="F806" s="35"/>
      <c r="G806" s="35"/>
      <c r="H806" s="35"/>
      <c r="I806" s="29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5">
      <c r="A807" s="58"/>
      <c r="B807" s="8"/>
      <c r="C807" s="8"/>
      <c r="D807" s="8"/>
      <c r="E807" s="26"/>
      <c r="F807" s="35"/>
      <c r="G807" s="35"/>
      <c r="H807" s="35"/>
      <c r="I807" s="29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x14ac:dyDescent="0.35">
      <c r="A808" s="58"/>
      <c r="B808" s="8"/>
      <c r="C808" s="8"/>
      <c r="D808" s="8"/>
      <c r="E808" s="26"/>
      <c r="F808" s="35"/>
      <c r="G808" s="35"/>
      <c r="H808" s="35"/>
      <c r="I808" s="29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x14ac:dyDescent="0.35">
      <c r="A809" s="58"/>
      <c r="B809" s="8"/>
      <c r="C809" s="8"/>
      <c r="D809" s="8"/>
      <c r="E809" s="26"/>
      <c r="F809" s="35"/>
      <c r="G809" s="35"/>
      <c r="H809" s="35"/>
      <c r="I809" s="29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x14ac:dyDescent="0.35">
      <c r="A810" s="58"/>
      <c r="B810" s="8"/>
      <c r="C810" s="8"/>
      <c r="D810" s="8"/>
      <c r="E810" s="26"/>
      <c r="F810" s="35"/>
      <c r="G810" s="35"/>
      <c r="H810" s="35"/>
      <c r="I810" s="29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x14ac:dyDescent="0.35">
      <c r="A811" s="58"/>
      <c r="B811" s="8"/>
      <c r="C811" s="8"/>
      <c r="D811" s="8"/>
      <c r="E811" s="26"/>
      <c r="F811" s="35"/>
      <c r="G811" s="35"/>
      <c r="H811" s="35"/>
      <c r="I811" s="29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x14ac:dyDescent="0.35">
      <c r="A812" s="58"/>
      <c r="B812" s="8"/>
      <c r="C812" s="8"/>
      <c r="D812" s="8"/>
      <c r="E812" s="26"/>
      <c r="F812" s="35"/>
      <c r="G812" s="35"/>
      <c r="H812" s="35"/>
      <c r="I812" s="29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x14ac:dyDescent="0.35">
      <c r="A813" s="58"/>
      <c r="B813" s="8"/>
      <c r="C813" s="8"/>
      <c r="D813" s="8"/>
      <c r="E813" s="26"/>
      <c r="F813" s="35"/>
      <c r="G813" s="35"/>
      <c r="H813" s="35"/>
      <c r="I813" s="29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x14ac:dyDescent="0.35">
      <c r="A814" s="58"/>
      <c r="B814" s="8"/>
      <c r="C814" s="8"/>
      <c r="D814" s="8"/>
      <c r="E814" s="26"/>
      <c r="F814" s="35"/>
      <c r="G814" s="35"/>
      <c r="H814" s="35"/>
      <c r="I814" s="29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x14ac:dyDescent="0.35">
      <c r="A815" s="58"/>
      <c r="B815" s="8"/>
      <c r="C815" s="8"/>
      <c r="D815" s="8"/>
      <c r="E815" s="26"/>
      <c r="F815" s="35"/>
      <c r="G815" s="35"/>
      <c r="H815" s="35"/>
      <c r="I815" s="29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x14ac:dyDescent="0.35">
      <c r="A816" s="58"/>
      <c r="B816" s="8"/>
      <c r="C816" s="8"/>
      <c r="D816" s="8"/>
      <c r="E816" s="26"/>
      <c r="F816" s="35"/>
      <c r="G816" s="35"/>
      <c r="H816" s="35"/>
      <c r="I816" s="29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x14ac:dyDescent="0.35">
      <c r="A817" s="58"/>
      <c r="B817" s="8"/>
      <c r="C817" s="8"/>
      <c r="D817" s="8"/>
      <c r="E817" s="26"/>
      <c r="F817" s="35"/>
      <c r="G817" s="35"/>
      <c r="H817" s="35"/>
      <c r="I817" s="29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x14ac:dyDescent="0.35">
      <c r="A818" s="58"/>
      <c r="B818" s="8"/>
      <c r="C818" s="8"/>
      <c r="D818" s="8"/>
      <c r="E818" s="26"/>
      <c r="F818" s="35"/>
      <c r="G818" s="35"/>
      <c r="H818" s="35"/>
      <c r="I818" s="29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x14ac:dyDescent="0.35">
      <c r="A819" s="58"/>
      <c r="B819" s="8"/>
      <c r="C819" s="8"/>
      <c r="D819" s="8"/>
      <c r="E819" s="26"/>
      <c r="F819" s="35"/>
      <c r="G819" s="35"/>
      <c r="H819" s="35"/>
      <c r="I819" s="29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x14ac:dyDescent="0.35">
      <c r="A820" s="58"/>
      <c r="B820" s="8"/>
      <c r="C820" s="8"/>
      <c r="D820" s="8"/>
      <c r="E820" s="26"/>
      <c r="F820" s="35"/>
      <c r="G820" s="35"/>
      <c r="H820" s="35"/>
      <c r="I820" s="29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x14ac:dyDescent="0.35">
      <c r="A821" s="58"/>
      <c r="B821" s="8"/>
      <c r="C821" s="8"/>
      <c r="D821" s="8"/>
      <c r="E821" s="26"/>
      <c r="F821" s="35"/>
      <c r="G821" s="35"/>
      <c r="H821" s="35"/>
      <c r="I821" s="29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x14ac:dyDescent="0.35">
      <c r="A822" s="58"/>
      <c r="B822" s="8"/>
      <c r="C822" s="8"/>
      <c r="D822" s="8"/>
      <c r="E822" s="26"/>
      <c r="F822" s="35"/>
      <c r="G822" s="35"/>
      <c r="H822" s="35"/>
      <c r="I822" s="29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x14ac:dyDescent="0.35">
      <c r="A823" s="58"/>
      <c r="B823" s="8"/>
      <c r="C823" s="8"/>
      <c r="D823" s="8"/>
      <c r="E823" s="26"/>
      <c r="F823" s="35"/>
      <c r="G823" s="35"/>
      <c r="H823" s="35"/>
      <c r="I823" s="29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5">
      <c r="A824" s="58"/>
      <c r="B824" s="8"/>
      <c r="C824" s="8"/>
      <c r="D824" s="8"/>
      <c r="E824" s="26"/>
      <c r="F824" s="35"/>
      <c r="G824" s="35"/>
      <c r="H824" s="35"/>
      <c r="I824" s="29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x14ac:dyDescent="0.35">
      <c r="A825" s="58"/>
      <c r="B825" s="8"/>
      <c r="C825" s="8"/>
      <c r="D825" s="8"/>
      <c r="E825" s="26"/>
      <c r="F825" s="35"/>
      <c r="G825" s="35"/>
      <c r="H825" s="35"/>
      <c r="I825" s="29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x14ac:dyDescent="0.35">
      <c r="A826" s="58"/>
      <c r="B826" s="8"/>
      <c r="C826" s="8"/>
      <c r="D826" s="8"/>
      <c r="E826" s="26"/>
      <c r="F826" s="35"/>
      <c r="G826" s="35"/>
      <c r="H826" s="35"/>
      <c r="I826" s="29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x14ac:dyDescent="0.35">
      <c r="A827" s="58"/>
      <c r="B827" s="8"/>
      <c r="C827" s="8"/>
      <c r="D827" s="8"/>
      <c r="E827" s="26"/>
      <c r="F827" s="35"/>
      <c r="G827" s="35"/>
      <c r="H827" s="35"/>
      <c r="I827" s="29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x14ac:dyDescent="0.35">
      <c r="A828" s="58"/>
      <c r="B828" s="8"/>
      <c r="C828" s="8"/>
      <c r="D828" s="8"/>
      <c r="E828" s="26"/>
      <c r="F828" s="35"/>
      <c r="G828" s="35"/>
      <c r="H828" s="35"/>
      <c r="I828" s="29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x14ac:dyDescent="0.35">
      <c r="A829" s="58"/>
      <c r="B829" s="8"/>
      <c r="C829" s="8"/>
      <c r="D829" s="8"/>
      <c r="E829" s="26"/>
      <c r="F829" s="35"/>
      <c r="G829" s="35"/>
      <c r="H829" s="35"/>
      <c r="I829" s="29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x14ac:dyDescent="0.35">
      <c r="A830" s="58"/>
      <c r="B830" s="8"/>
      <c r="C830" s="8"/>
      <c r="D830" s="8"/>
      <c r="E830" s="26"/>
      <c r="F830" s="35"/>
      <c r="G830" s="35"/>
      <c r="H830" s="35"/>
      <c r="I830" s="29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x14ac:dyDescent="0.35">
      <c r="A831" s="58"/>
      <c r="B831" s="8"/>
      <c r="C831" s="8"/>
      <c r="D831" s="8"/>
      <c r="E831" s="26"/>
      <c r="F831" s="35"/>
      <c r="G831" s="35"/>
      <c r="H831" s="35"/>
      <c r="I831" s="29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x14ac:dyDescent="0.35">
      <c r="A832" s="58"/>
      <c r="B832" s="8"/>
      <c r="C832" s="8"/>
      <c r="D832" s="8"/>
      <c r="E832" s="26"/>
      <c r="F832" s="35"/>
      <c r="G832" s="35"/>
      <c r="H832" s="35"/>
      <c r="I832" s="29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x14ac:dyDescent="0.35">
      <c r="A833" s="58"/>
      <c r="B833" s="8"/>
      <c r="C833" s="8"/>
      <c r="D833" s="8"/>
      <c r="E833" s="26"/>
      <c r="F833" s="35"/>
      <c r="G833" s="35"/>
      <c r="H833" s="35"/>
      <c r="I833" s="29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x14ac:dyDescent="0.35">
      <c r="A834" s="58"/>
      <c r="B834" s="8"/>
      <c r="C834" s="8"/>
      <c r="D834" s="8"/>
      <c r="E834" s="26"/>
      <c r="F834" s="35"/>
      <c r="G834" s="35"/>
      <c r="H834" s="35"/>
      <c r="I834" s="29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x14ac:dyDescent="0.35">
      <c r="A835" s="58"/>
      <c r="B835" s="8"/>
      <c r="C835" s="8"/>
      <c r="D835" s="8"/>
      <c r="E835" s="26"/>
      <c r="F835" s="35"/>
      <c r="G835" s="35"/>
      <c r="H835" s="35"/>
      <c r="I835" s="29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x14ac:dyDescent="0.35">
      <c r="A836" s="58"/>
      <c r="B836" s="8"/>
      <c r="C836" s="8"/>
      <c r="D836" s="8"/>
      <c r="E836" s="26"/>
      <c r="F836" s="35"/>
      <c r="G836" s="35"/>
      <c r="H836" s="35"/>
      <c r="I836" s="29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x14ac:dyDescent="0.35">
      <c r="A837" s="58"/>
      <c r="B837" s="8"/>
      <c r="C837" s="8"/>
      <c r="D837" s="8"/>
      <c r="E837" s="26"/>
      <c r="F837" s="35"/>
      <c r="G837" s="35"/>
      <c r="H837" s="35"/>
      <c r="I837" s="29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x14ac:dyDescent="0.35">
      <c r="A838" s="58"/>
      <c r="B838" s="8"/>
      <c r="C838" s="8"/>
      <c r="D838" s="8"/>
      <c r="E838" s="26"/>
      <c r="F838" s="35"/>
      <c r="G838" s="35"/>
      <c r="H838" s="35"/>
      <c r="I838" s="29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x14ac:dyDescent="0.35">
      <c r="A839" s="58"/>
      <c r="B839" s="8"/>
      <c r="C839" s="8"/>
      <c r="D839" s="8"/>
      <c r="E839" s="26"/>
      <c r="F839" s="35"/>
      <c r="G839" s="35"/>
      <c r="H839" s="35"/>
      <c r="I839" s="29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x14ac:dyDescent="0.35">
      <c r="A840" s="58"/>
      <c r="B840" s="8"/>
      <c r="C840" s="8"/>
      <c r="D840" s="8"/>
      <c r="E840" s="26"/>
      <c r="F840" s="35"/>
      <c r="G840" s="35"/>
      <c r="H840" s="35"/>
      <c r="I840" s="29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x14ac:dyDescent="0.35">
      <c r="A841" s="58"/>
      <c r="B841" s="8"/>
      <c r="C841" s="8"/>
      <c r="D841" s="8"/>
      <c r="E841" s="26"/>
      <c r="F841" s="35"/>
      <c r="G841" s="35"/>
      <c r="H841" s="35"/>
      <c r="I841" s="29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x14ac:dyDescent="0.35">
      <c r="A842" s="58"/>
      <c r="B842" s="8"/>
      <c r="C842" s="8"/>
      <c r="D842" s="8"/>
      <c r="E842" s="26"/>
      <c r="F842" s="35"/>
      <c r="G842" s="35"/>
      <c r="H842" s="35"/>
      <c r="I842" s="29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x14ac:dyDescent="0.35">
      <c r="A843" s="58"/>
      <c r="B843" s="8"/>
      <c r="C843" s="8"/>
      <c r="D843" s="8"/>
      <c r="E843" s="26"/>
      <c r="F843" s="35"/>
      <c r="G843" s="35"/>
      <c r="H843" s="35"/>
      <c r="I843" s="29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x14ac:dyDescent="0.35">
      <c r="A844" s="58"/>
      <c r="B844" s="8"/>
      <c r="C844" s="8"/>
      <c r="D844" s="8"/>
      <c r="E844" s="26"/>
      <c r="F844" s="35"/>
      <c r="G844" s="35"/>
      <c r="H844" s="35"/>
      <c r="I844" s="29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x14ac:dyDescent="0.35">
      <c r="A845" s="58"/>
      <c r="B845" s="8"/>
      <c r="C845" s="8"/>
      <c r="D845" s="8"/>
      <c r="E845" s="26"/>
      <c r="F845" s="35"/>
      <c r="G845" s="35"/>
      <c r="H845" s="35"/>
      <c r="I845" s="29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x14ac:dyDescent="0.35">
      <c r="A846" s="58"/>
      <c r="B846" s="8"/>
      <c r="C846" s="8"/>
      <c r="D846" s="8"/>
      <c r="E846" s="26"/>
      <c r="F846" s="35"/>
      <c r="G846" s="35"/>
      <c r="H846" s="35"/>
      <c r="I846" s="29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x14ac:dyDescent="0.35">
      <c r="A847" s="58"/>
      <c r="B847" s="8"/>
      <c r="C847" s="8"/>
      <c r="D847" s="8"/>
      <c r="E847" s="26"/>
      <c r="F847" s="35"/>
      <c r="G847" s="35"/>
      <c r="H847" s="35"/>
      <c r="I847" s="29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x14ac:dyDescent="0.35">
      <c r="A848" s="58"/>
      <c r="B848" s="8"/>
      <c r="C848" s="8"/>
      <c r="D848" s="8"/>
      <c r="E848" s="26"/>
      <c r="F848" s="35"/>
      <c r="G848" s="35"/>
      <c r="H848" s="35"/>
      <c r="I848" s="29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x14ac:dyDescent="0.35">
      <c r="A849" s="58"/>
      <c r="B849" s="8"/>
      <c r="C849" s="8"/>
      <c r="D849" s="8"/>
      <c r="E849" s="26"/>
      <c r="F849" s="35"/>
      <c r="G849" s="35"/>
      <c r="H849" s="35"/>
      <c r="I849" s="29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x14ac:dyDescent="0.35">
      <c r="A850" s="58"/>
      <c r="B850" s="8"/>
      <c r="C850" s="8"/>
      <c r="D850" s="8"/>
      <c r="E850" s="26"/>
      <c r="F850" s="35"/>
      <c r="G850" s="35"/>
      <c r="H850" s="35"/>
      <c r="I850" s="29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x14ac:dyDescent="0.35">
      <c r="A851" s="58"/>
      <c r="B851" s="8"/>
      <c r="C851" s="8"/>
      <c r="D851" s="8"/>
      <c r="E851" s="26"/>
      <c r="F851" s="35"/>
      <c r="G851" s="35"/>
      <c r="H851" s="35"/>
      <c r="I851" s="29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x14ac:dyDescent="0.35">
      <c r="A852" s="58"/>
      <c r="B852" s="8"/>
      <c r="C852" s="8"/>
      <c r="D852" s="8"/>
      <c r="E852" s="26"/>
      <c r="F852" s="35"/>
      <c r="G852" s="35"/>
      <c r="H852" s="35"/>
      <c r="I852" s="29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x14ac:dyDescent="0.35">
      <c r="A853" s="58"/>
      <c r="B853" s="8"/>
      <c r="C853" s="8"/>
      <c r="D853" s="8"/>
      <c r="E853" s="26"/>
      <c r="F853" s="35"/>
      <c r="G853" s="35"/>
      <c r="H853" s="35"/>
      <c r="I853" s="29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x14ac:dyDescent="0.35">
      <c r="A854" s="58"/>
      <c r="B854" s="8"/>
      <c r="C854" s="8"/>
      <c r="D854" s="8"/>
      <c r="E854" s="26"/>
      <c r="F854" s="35"/>
      <c r="G854" s="35"/>
      <c r="H854" s="35"/>
      <c r="I854" s="29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x14ac:dyDescent="0.35">
      <c r="A855" s="58"/>
      <c r="B855" s="8"/>
      <c r="C855" s="8"/>
      <c r="D855" s="8"/>
      <c r="E855" s="26"/>
      <c r="F855" s="35"/>
      <c r="G855" s="35"/>
      <c r="H855" s="35"/>
      <c r="I855" s="29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x14ac:dyDescent="0.35">
      <c r="A856" s="58"/>
      <c r="B856" s="8"/>
      <c r="C856" s="8"/>
      <c r="D856" s="8"/>
      <c r="E856" s="26"/>
      <c r="F856" s="35"/>
      <c r="G856" s="35"/>
      <c r="H856" s="35"/>
      <c r="I856" s="29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x14ac:dyDescent="0.35">
      <c r="A857" s="58"/>
      <c r="B857" s="8"/>
      <c r="C857" s="8"/>
      <c r="D857" s="8"/>
      <c r="E857" s="26"/>
      <c r="F857" s="35"/>
      <c r="G857" s="35"/>
      <c r="H857" s="35"/>
      <c r="I857" s="29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x14ac:dyDescent="0.35">
      <c r="A858" s="58"/>
      <c r="B858" s="8"/>
      <c r="C858" s="8"/>
      <c r="D858" s="8"/>
      <c r="E858" s="26"/>
      <c r="F858" s="35"/>
      <c r="G858" s="35"/>
      <c r="H858" s="35"/>
      <c r="I858" s="29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x14ac:dyDescent="0.35">
      <c r="A859" s="58"/>
      <c r="B859" s="8"/>
      <c r="C859" s="8"/>
      <c r="D859" s="8"/>
      <c r="E859" s="26"/>
      <c r="F859" s="35"/>
      <c r="G859" s="35"/>
      <c r="H859" s="35"/>
      <c r="I859" s="29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x14ac:dyDescent="0.35">
      <c r="A860" s="58"/>
      <c r="B860" s="8"/>
      <c r="C860" s="8"/>
      <c r="D860" s="8"/>
      <c r="E860" s="26"/>
      <c r="F860" s="35"/>
      <c r="G860" s="35"/>
      <c r="H860" s="35"/>
      <c r="I860" s="29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x14ac:dyDescent="0.35">
      <c r="A861" s="58"/>
      <c r="B861" s="8"/>
      <c r="C861" s="8"/>
      <c r="D861" s="8"/>
      <c r="E861" s="26"/>
      <c r="F861" s="35"/>
      <c r="G861" s="35"/>
      <c r="H861" s="35"/>
      <c r="I861" s="29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x14ac:dyDescent="0.35">
      <c r="A862" s="58"/>
      <c r="B862" s="8"/>
      <c r="C862" s="8"/>
      <c r="D862" s="8"/>
      <c r="E862" s="26"/>
      <c r="F862" s="35"/>
      <c r="G862" s="35"/>
      <c r="H862" s="35"/>
      <c r="I862" s="29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x14ac:dyDescent="0.35">
      <c r="A863" s="58"/>
      <c r="B863" s="8"/>
      <c r="C863" s="8"/>
      <c r="D863" s="8"/>
      <c r="E863" s="26"/>
      <c r="F863" s="35"/>
      <c r="G863" s="35"/>
      <c r="H863" s="35"/>
      <c r="I863" s="29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x14ac:dyDescent="0.35">
      <c r="A864" s="58"/>
      <c r="B864" s="8"/>
      <c r="C864" s="8"/>
      <c r="D864" s="8"/>
      <c r="E864" s="26"/>
      <c r="F864" s="35"/>
      <c r="G864" s="35"/>
      <c r="H864" s="35"/>
      <c r="I864" s="29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x14ac:dyDescent="0.35">
      <c r="A865" s="58"/>
      <c r="B865" s="8"/>
      <c r="C865" s="8"/>
      <c r="D865" s="8"/>
      <c r="E865" s="26"/>
      <c r="F865" s="35"/>
      <c r="G865" s="35"/>
      <c r="H865" s="35"/>
      <c r="I865" s="29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x14ac:dyDescent="0.35">
      <c r="A866" s="58"/>
      <c r="B866" s="8"/>
      <c r="C866" s="8"/>
      <c r="D866" s="8"/>
      <c r="E866" s="26"/>
      <c r="F866" s="35"/>
      <c r="G866" s="35"/>
      <c r="H866" s="35"/>
      <c r="I866" s="29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x14ac:dyDescent="0.35">
      <c r="A867" s="58"/>
      <c r="B867" s="8"/>
      <c r="C867" s="8"/>
      <c r="D867" s="8"/>
      <c r="E867" s="26"/>
      <c r="F867" s="35"/>
      <c r="G867" s="35"/>
      <c r="H867" s="35"/>
      <c r="I867" s="29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x14ac:dyDescent="0.35">
      <c r="A868" s="58"/>
      <c r="B868" s="8"/>
      <c r="C868" s="8"/>
      <c r="D868" s="8"/>
      <c r="E868" s="26"/>
      <c r="F868" s="35"/>
      <c r="G868" s="35"/>
      <c r="H868" s="35"/>
      <c r="I868" s="29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x14ac:dyDescent="0.35">
      <c r="A869" s="58"/>
      <c r="B869" s="8"/>
      <c r="C869" s="8"/>
      <c r="D869" s="8"/>
      <c r="E869" s="26"/>
      <c r="F869" s="35"/>
      <c r="G869" s="35"/>
      <c r="H869" s="35"/>
      <c r="I869" s="29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x14ac:dyDescent="0.35">
      <c r="A870" s="58"/>
      <c r="B870" s="8"/>
      <c r="C870" s="8"/>
      <c r="D870" s="8"/>
      <c r="E870" s="26"/>
      <c r="F870" s="35"/>
      <c r="G870" s="35"/>
      <c r="H870" s="35"/>
      <c r="I870" s="29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x14ac:dyDescent="0.35">
      <c r="A871" s="58"/>
      <c r="B871" s="8"/>
      <c r="C871" s="8"/>
      <c r="D871" s="8"/>
      <c r="E871" s="26"/>
      <c r="F871" s="35"/>
      <c r="G871" s="35"/>
      <c r="H871" s="35"/>
      <c r="I871" s="29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x14ac:dyDescent="0.35">
      <c r="A872" s="58"/>
      <c r="B872" s="8"/>
      <c r="C872" s="8"/>
      <c r="D872" s="8"/>
      <c r="E872" s="26"/>
      <c r="F872" s="35"/>
      <c r="G872" s="35"/>
      <c r="H872" s="35"/>
      <c r="I872" s="29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x14ac:dyDescent="0.35">
      <c r="A873" s="58"/>
      <c r="B873" s="8"/>
      <c r="C873" s="8"/>
      <c r="D873" s="8"/>
      <c r="E873" s="26"/>
      <c r="F873" s="35"/>
      <c r="G873" s="35"/>
      <c r="H873" s="35"/>
      <c r="I873" s="29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x14ac:dyDescent="0.35">
      <c r="A874" s="58"/>
      <c r="B874" s="8"/>
      <c r="C874" s="8"/>
      <c r="D874" s="8"/>
      <c r="E874" s="26"/>
      <c r="F874" s="35"/>
      <c r="G874" s="35"/>
      <c r="H874" s="35"/>
      <c r="I874" s="29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x14ac:dyDescent="0.35">
      <c r="A875" s="58"/>
      <c r="B875" s="8"/>
      <c r="C875" s="8"/>
      <c r="D875" s="8"/>
      <c r="E875" s="26"/>
      <c r="F875" s="35"/>
      <c r="G875" s="35"/>
      <c r="H875" s="35"/>
      <c r="I875" s="29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x14ac:dyDescent="0.35">
      <c r="A876" s="58"/>
      <c r="B876" s="8"/>
      <c r="C876" s="8"/>
      <c r="D876" s="8"/>
      <c r="E876" s="26"/>
      <c r="F876" s="35"/>
      <c r="G876" s="35"/>
      <c r="H876" s="35"/>
      <c r="I876" s="29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x14ac:dyDescent="0.35">
      <c r="A877" s="58"/>
      <c r="B877" s="8"/>
      <c r="C877" s="8"/>
      <c r="D877" s="8"/>
      <c r="E877" s="26"/>
      <c r="F877" s="35"/>
      <c r="G877" s="35"/>
      <c r="H877" s="35"/>
      <c r="I877" s="29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x14ac:dyDescent="0.35">
      <c r="A878" s="58"/>
      <c r="B878" s="8"/>
      <c r="C878" s="8"/>
      <c r="D878" s="8"/>
      <c r="E878" s="26"/>
      <c r="F878" s="35"/>
      <c r="G878" s="35"/>
      <c r="H878" s="35"/>
      <c r="I878" s="29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x14ac:dyDescent="0.35">
      <c r="A879" s="58"/>
      <c r="B879" s="8"/>
      <c r="C879" s="8"/>
      <c r="D879" s="8"/>
      <c r="E879" s="26"/>
      <c r="F879" s="35"/>
      <c r="G879" s="35"/>
      <c r="H879" s="35"/>
      <c r="I879" s="29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x14ac:dyDescent="0.35">
      <c r="A880" s="58"/>
      <c r="B880" s="8"/>
      <c r="C880" s="8"/>
      <c r="D880" s="8"/>
      <c r="E880" s="26"/>
      <c r="F880" s="35"/>
      <c r="G880" s="35"/>
      <c r="H880" s="35"/>
      <c r="I880" s="29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x14ac:dyDescent="0.35">
      <c r="A881" s="58"/>
      <c r="B881" s="8"/>
      <c r="C881" s="8"/>
      <c r="D881" s="8"/>
      <c r="E881" s="26"/>
      <c r="F881" s="35"/>
      <c r="G881" s="35"/>
      <c r="H881" s="35"/>
      <c r="I881" s="29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5">
      <c r="A882" s="58"/>
      <c r="B882" s="8"/>
      <c r="C882" s="8"/>
      <c r="D882" s="8"/>
      <c r="E882" s="26"/>
      <c r="F882" s="35"/>
      <c r="G882" s="35"/>
      <c r="H882" s="35"/>
      <c r="I882" s="29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5">
      <c r="A883" s="58"/>
      <c r="B883" s="8"/>
      <c r="C883" s="8"/>
      <c r="D883" s="8"/>
      <c r="E883" s="26"/>
      <c r="F883" s="35"/>
      <c r="G883" s="35"/>
      <c r="H883" s="35"/>
      <c r="I883" s="29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x14ac:dyDescent="0.35">
      <c r="A884" s="58"/>
      <c r="B884" s="8"/>
      <c r="C884" s="8"/>
      <c r="D884" s="8"/>
      <c r="E884" s="26"/>
      <c r="F884" s="35"/>
      <c r="G884" s="35"/>
      <c r="H884" s="35"/>
      <c r="I884" s="29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x14ac:dyDescent="0.35">
      <c r="A885" s="58"/>
      <c r="B885" s="8"/>
      <c r="C885" s="8"/>
      <c r="D885" s="8"/>
      <c r="E885" s="26"/>
      <c r="F885" s="35"/>
      <c r="G885" s="35"/>
      <c r="H885" s="35"/>
      <c r="I885" s="29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5">
      <c r="A886" s="58"/>
      <c r="B886" s="8"/>
      <c r="C886" s="8"/>
      <c r="D886" s="8"/>
      <c r="E886" s="26"/>
      <c r="F886" s="35"/>
      <c r="G886" s="35"/>
      <c r="H886" s="35"/>
      <c r="I886" s="29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x14ac:dyDescent="0.35">
      <c r="A887" s="58"/>
      <c r="B887" s="8"/>
      <c r="C887" s="8"/>
      <c r="D887" s="8"/>
      <c r="E887" s="26"/>
      <c r="F887" s="35"/>
      <c r="G887" s="35"/>
      <c r="H887" s="35"/>
      <c r="I887" s="29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x14ac:dyDescent="0.35">
      <c r="A888" s="58"/>
      <c r="B888" s="8"/>
      <c r="C888" s="8"/>
      <c r="D888" s="8"/>
      <c r="E888" s="26"/>
      <c r="F888" s="35"/>
      <c r="G888" s="35"/>
      <c r="H888" s="35"/>
      <c r="I888" s="29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x14ac:dyDescent="0.35">
      <c r="A889" s="58"/>
      <c r="B889" s="8"/>
      <c r="C889" s="8"/>
      <c r="D889" s="8"/>
      <c r="E889" s="26"/>
      <c r="F889" s="35"/>
      <c r="G889" s="35"/>
      <c r="H889" s="35"/>
      <c r="I889" s="29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x14ac:dyDescent="0.35">
      <c r="A890" s="58"/>
      <c r="B890" s="8"/>
      <c r="C890" s="8"/>
      <c r="D890" s="8"/>
      <c r="E890" s="26"/>
      <c r="F890" s="35"/>
      <c r="G890" s="35"/>
      <c r="H890" s="35"/>
      <c r="I890" s="29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x14ac:dyDescent="0.35">
      <c r="A891" s="58"/>
      <c r="B891" s="8"/>
      <c r="C891" s="8"/>
      <c r="D891" s="8"/>
      <c r="E891" s="26"/>
      <c r="F891" s="35"/>
      <c r="G891" s="35"/>
      <c r="H891" s="35"/>
      <c r="I891" s="29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x14ac:dyDescent="0.35">
      <c r="A892" s="58"/>
      <c r="B892" s="8"/>
      <c r="C892" s="8"/>
      <c r="D892" s="8"/>
      <c r="E892" s="26"/>
      <c r="F892" s="35"/>
      <c r="G892" s="35"/>
      <c r="H892" s="35"/>
      <c r="I892" s="29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x14ac:dyDescent="0.35">
      <c r="A893" s="58"/>
      <c r="B893" s="8"/>
      <c r="C893" s="8"/>
      <c r="D893" s="8"/>
      <c r="E893" s="26"/>
      <c r="F893" s="35"/>
      <c r="G893" s="35"/>
      <c r="H893" s="35"/>
      <c r="I893" s="29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x14ac:dyDescent="0.35">
      <c r="A894" s="58"/>
      <c r="B894" s="8"/>
      <c r="C894" s="8"/>
      <c r="D894" s="8"/>
      <c r="E894" s="26"/>
      <c r="F894" s="35"/>
      <c r="G894" s="35"/>
      <c r="H894" s="35"/>
      <c r="I894" s="29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x14ac:dyDescent="0.35">
      <c r="A895" s="58"/>
      <c r="B895" s="8"/>
      <c r="C895" s="8"/>
      <c r="D895" s="8"/>
      <c r="E895" s="26"/>
      <c r="F895" s="35"/>
      <c r="G895" s="35"/>
      <c r="H895" s="35"/>
      <c r="I895" s="29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x14ac:dyDescent="0.35">
      <c r="A896" s="58"/>
      <c r="B896" s="8"/>
      <c r="C896" s="8"/>
      <c r="D896" s="8"/>
      <c r="E896" s="26"/>
      <c r="F896" s="35"/>
      <c r="G896" s="35"/>
      <c r="H896" s="35"/>
      <c r="I896" s="29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x14ac:dyDescent="0.35">
      <c r="A897" s="58"/>
      <c r="B897" s="8"/>
      <c r="C897" s="8"/>
      <c r="D897" s="8"/>
      <c r="E897" s="26"/>
      <c r="F897" s="35"/>
      <c r="G897" s="35"/>
      <c r="H897" s="35"/>
      <c r="I897" s="29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x14ac:dyDescent="0.35">
      <c r="A898" s="58"/>
      <c r="B898" s="8"/>
      <c r="C898" s="8"/>
      <c r="D898" s="8"/>
      <c r="E898" s="26"/>
      <c r="F898" s="35"/>
      <c r="G898" s="35"/>
      <c r="H898" s="35"/>
      <c r="I898" s="29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x14ac:dyDescent="0.35">
      <c r="A899" s="58"/>
      <c r="B899" s="8"/>
      <c r="C899" s="8"/>
      <c r="D899" s="8"/>
      <c r="E899" s="26"/>
      <c r="F899" s="35"/>
      <c r="G899" s="35"/>
      <c r="H899" s="35"/>
      <c r="I899" s="29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x14ac:dyDescent="0.35">
      <c r="A900" s="58"/>
      <c r="B900" s="8"/>
      <c r="C900" s="8"/>
      <c r="D900" s="8"/>
      <c r="E900" s="26"/>
      <c r="F900" s="35"/>
      <c r="G900" s="35"/>
      <c r="H900" s="35"/>
      <c r="I900" s="29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x14ac:dyDescent="0.35">
      <c r="A901" s="58"/>
      <c r="B901" s="8"/>
      <c r="C901" s="8"/>
      <c r="D901" s="8"/>
      <c r="E901" s="26"/>
      <c r="F901" s="35"/>
      <c r="G901" s="35"/>
      <c r="H901" s="35"/>
      <c r="I901" s="29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x14ac:dyDescent="0.35">
      <c r="A902" s="58"/>
      <c r="B902" s="8"/>
      <c r="C902" s="8"/>
      <c r="D902" s="8"/>
      <c r="E902" s="26"/>
      <c r="F902" s="35"/>
      <c r="G902" s="35"/>
      <c r="H902" s="35"/>
      <c r="I902" s="29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x14ac:dyDescent="0.35">
      <c r="A903" s="58"/>
      <c r="B903" s="8"/>
      <c r="C903" s="8"/>
      <c r="D903" s="8"/>
      <c r="E903" s="26"/>
      <c r="F903" s="35"/>
      <c r="G903" s="35"/>
      <c r="H903" s="35"/>
      <c r="I903" s="29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x14ac:dyDescent="0.35">
      <c r="A904" s="58"/>
      <c r="B904" s="8"/>
      <c r="C904" s="8"/>
      <c r="D904" s="8"/>
      <c r="E904" s="26"/>
      <c r="F904" s="35"/>
      <c r="G904" s="35"/>
      <c r="H904" s="35"/>
      <c r="I904" s="29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x14ac:dyDescent="0.35">
      <c r="A905" s="58"/>
      <c r="B905" s="8"/>
      <c r="C905" s="8"/>
      <c r="D905" s="8"/>
      <c r="E905" s="26"/>
      <c r="F905" s="35"/>
      <c r="G905" s="35"/>
      <c r="H905" s="35"/>
      <c r="I905" s="29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x14ac:dyDescent="0.35">
      <c r="A906" s="58"/>
      <c r="B906" s="8"/>
      <c r="C906" s="8"/>
      <c r="D906" s="8"/>
      <c r="E906" s="26"/>
      <c r="F906" s="35"/>
      <c r="G906" s="35"/>
      <c r="H906" s="35"/>
      <c r="I906" s="29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x14ac:dyDescent="0.35">
      <c r="A907" s="58"/>
      <c r="B907" s="8"/>
      <c r="C907" s="8"/>
      <c r="D907" s="8"/>
      <c r="E907" s="26"/>
      <c r="F907" s="35"/>
      <c r="G907" s="35"/>
      <c r="H907" s="35"/>
      <c r="I907" s="29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x14ac:dyDescent="0.35">
      <c r="A908" s="58"/>
      <c r="B908" s="8"/>
      <c r="C908" s="8"/>
      <c r="D908" s="8"/>
      <c r="E908" s="26"/>
      <c r="F908" s="35"/>
      <c r="G908" s="35"/>
      <c r="H908" s="35"/>
      <c r="I908" s="29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x14ac:dyDescent="0.35">
      <c r="A909" s="58"/>
      <c r="B909" s="8"/>
      <c r="C909" s="8"/>
      <c r="D909" s="8"/>
      <c r="E909" s="26"/>
      <c r="F909" s="35"/>
      <c r="G909" s="35"/>
      <c r="H909" s="35"/>
      <c r="I909" s="29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x14ac:dyDescent="0.35">
      <c r="A910" s="58"/>
      <c r="B910" s="8"/>
      <c r="C910" s="8"/>
      <c r="D910" s="8"/>
      <c r="E910" s="26"/>
      <c r="F910" s="35"/>
      <c r="G910" s="35"/>
      <c r="H910" s="35"/>
      <c r="I910" s="29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x14ac:dyDescent="0.35">
      <c r="A911" s="58"/>
      <c r="B911" s="8"/>
      <c r="C911" s="8"/>
      <c r="D911" s="8"/>
      <c r="E911" s="26"/>
      <c r="F911" s="35"/>
      <c r="G911" s="35"/>
      <c r="H911" s="35"/>
      <c r="I911" s="29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x14ac:dyDescent="0.35">
      <c r="A912" s="58"/>
      <c r="B912" s="8"/>
      <c r="C912" s="8"/>
      <c r="D912" s="8"/>
      <c r="E912" s="26"/>
      <c r="F912" s="35"/>
      <c r="G912" s="35"/>
      <c r="H912" s="35"/>
      <c r="I912" s="29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x14ac:dyDescent="0.35">
      <c r="A913" s="58"/>
      <c r="B913" s="8"/>
      <c r="C913" s="8"/>
      <c r="D913" s="8"/>
      <c r="E913" s="26"/>
      <c r="F913" s="35"/>
      <c r="G913" s="35"/>
      <c r="H913" s="35"/>
      <c r="I913" s="29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x14ac:dyDescent="0.35">
      <c r="A914" s="58"/>
      <c r="B914" s="8"/>
      <c r="C914" s="8"/>
      <c r="D914" s="8"/>
      <c r="E914" s="26"/>
      <c r="F914" s="35"/>
      <c r="G914" s="35"/>
      <c r="H914" s="35"/>
      <c r="I914" s="29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x14ac:dyDescent="0.35">
      <c r="A915" s="58"/>
      <c r="B915" s="8"/>
      <c r="C915" s="8"/>
      <c r="D915" s="8"/>
      <c r="E915" s="26"/>
      <c r="F915" s="35"/>
      <c r="G915" s="35"/>
      <c r="H915" s="35"/>
      <c r="I915" s="29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x14ac:dyDescent="0.35">
      <c r="A916" s="58"/>
      <c r="B916" s="8"/>
      <c r="C916" s="8"/>
      <c r="D916" s="8"/>
      <c r="E916" s="26"/>
      <c r="F916" s="35"/>
      <c r="G916" s="35"/>
      <c r="H916" s="35"/>
      <c r="I916" s="29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x14ac:dyDescent="0.35">
      <c r="A917" s="58"/>
      <c r="B917" s="8"/>
      <c r="C917" s="8"/>
      <c r="D917" s="8"/>
      <c r="E917" s="26"/>
      <c r="F917" s="35"/>
      <c r="G917" s="35"/>
      <c r="H917" s="35"/>
      <c r="I917" s="29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x14ac:dyDescent="0.35">
      <c r="A918" s="58"/>
      <c r="B918" s="8"/>
      <c r="C918" s="8"/>
      <c r="D918" s="8"/>
      <c r="E918" s="26"/>
      <c r="F918" s="35"/>
      <c r="G918" s="35"/>
      <c r="H918" s="35"/>
      <c r="I918" s="29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x14ac:dyDescent="0.35">
      <c r="A919" s="58"/>
      <c r="B919" s="8"/>
      <c r="C919" s="8"/>
      <c r="D919" s="8"/>
      <c r="E919" s="26"/>
      <c r="F919" s="35"/>
      <c r="G919" s="35"/>
      <c r="H919" s="35"/>
      <c r="I919" s="29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x14ac:dyDescent="0.35">
      <c r="A920" s="58"/>
      <c r="B920" s="8"/>
      <c r="C920" s="8"/>
      <c r="D920" s="8"/>
      <c r="E920" s="26"/>
      <c r="F920" s="35"/>
      <c r="G920" s="35"/>
      <c r="H920" s="35"/>
      <c r="I920" s="29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x14ac:dyDescent="0.35">
      <c r="A921" s="58"/>
      <c r="B921" s="8"/>
      <c r="C921" s="8"/>
      <c r="D921" s="8"/>
      <c r="E921" s="26"/>
      <c r="F921" s="35"/>
      <c r="G921" s="35"/>
      <c r="H921" s="35"/>
      <c r="I921" s="29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x14ac:dyDescent="0.35">
      <c r="A922" s="58"/>
      <c r="B922" s="8"/>
      <c r="C922" s="8"/>
      <c r="D922" s="8"/>
      <c r="E922" s="26"/>
      <c r="F922" s="35"/>
      <c r="G922" s="35"/>
      <c r="H922" s="35"/>
      <c r="I922" s="29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x14ac:dyDescent="0.35">
      <c r="A923" s="58"/>
      <c r="B923" s="8"/>
      <c r="C923" s="8"/>
      <c r="D923" s="8"/>
      <c r="E923" s="26"/>
      <c r="F923" s="35"/>
      <c r="G923" s="35"/>
      <c r="H923" s="35"/>
      <c r="I923" s="29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x14ac:dyDescent="0.35">
      <c r="A924" s="58"/>
      <c r="B924" s="8"/>
      <c r="C924" s="8"/>
      <c r="D924" s="8"/>
      <c r="E924" s="26"/>
      <c r="F924" s="35"/>
      <c r="G924" s="35"/>
      <c r="H924" s="35"/>
      <c r="I924" s="29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x14ac:dyDescent="0.35">
      <c r="A925" s="58"/>
      <c r="B925" s="8"/>
      <c r="C925" s="8"/>
      <c r="D925" s="8"/>
      <c r="E925" s="26"/>
      <c r="F925" s="35"/>
      <c r="G925" s="35"/>
      <c r="H925" s="35"/>
      <c r="I925" s="29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x14ac:dyDescent="0.35">
      <c r="A926" s="58"/>
      <c r="B926" s="8"/>
      <c r="C926" s="8"/>
      <c r="D926" s="8"/>
      <c r="E926" s="26"/>
      <c r="F926" s="35"/>
      <c r="G926" s="35"/>
      <c r="H926" s="35"/>
      <c r="I926" s="29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x14ac:dyDescent="0.35">
      <c r="A927" s="58"/>
      <c r="B927" s="8"/>
      <c r="C927" s="8"/>
      <c r="D927" s="8"/>
      <c r="E927" s="26"/>
      <c r="F927" s="35"/>
      <c r="G927" s="35"/>
      <c r="H927" s="35"/>
      <c r="I927" s="29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x14ac:dyDescent="0.35">
      <c r="A928" s="58"/>
      <c r="B928" s="8"/>
      <c r="C928" s="8"/>
      <c r="D928" s="8"/>
      <c r="E928" s="26"/>
      <c r="F928" s="35"/>
      <c r="G928" s="35"/>
      <c r="H928" s="35"/>
      <c r="I928" s="29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x14ac:dyDescent="0.35">
      <c r="A929" s="58"/>
      <c r="B929" s="8"/>
      <c r="C929" s="8"/>
      <c r="D929" s="8"/>
      <c r="E929" s="26"/>
      <c r="F929" s="35"/>
      <c r="G929" s="35"/>
      <c r="H929" s="35"/>
      <c r="I929" s="29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x14ac:dyDescent="0.35">
      <c r="A930" s="58"/>
      <c r="B930" s="8"/>
      <c r="C930" s="8"/>
      <c r="D930" s="8"/>
      <c r="E930" s="26"/>
      <c r="F930" s="35"/>
      <c r="G930" s="35"/>
      <c r="H930" s="35"/>
      <c r="I930" s="29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x14ac:dyDescent="0.35">
      <c r="A931" s="58"/>
      <c r="B931" s="8"/>
      <c r="C931" s="8"/>
      <c r="D931" s="8"/>
      <c r="E931" s="26"/>
      <c r="F931" s="35"/>
      <c r="G931" s="35"/>
      <c r="H931" s="35"/>
      <c r="I931" s="29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x14ac:dyDescent="0.35">
      <c r="A932" s="58"/>
      <c r="B932" s="8"/>
      <c r="C932" s="8"/>
      <c r="D932" s="8"/>
      <c r="E932" s="26"/>
      <c r="F932" s="35"/>
      <c r="G932" s="35"/>
      <c r="H932" s="35"/>
      <c r="I932" s="29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x14ac:dyDescent="0.35">
      <c r="A933" s="58"/>
      <c r="B933" s="8"/>
      <c r="C933" s="8"/>
      <c r="D933" s="8"/>
      <c r="E933" s="26"/>
      <c r="F933" s="35"/>
      <c r="G933" s="35"/>
      <c r="H933" s="35"/>
      <c r="I933" s="29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x14ac:dyDescent="0.35">
      <c r="A934" s="58"/>
      <c r="B934" s="8"/>
      <c r="C934" s="8"/>
      <c r="D934" s="8"/>
      <c r="E934" s="26"/>
      <c r="F934" s="35"/>
      <c r="G934" s="35"/>
      <c r="H934" s="35"/>
      <c r="I934" s="29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x14ac:dyDescent="0.35">
      <c r="A935" s="58"/>
      <c r="B935" s="8"/>
      <c r="C935" s="8"/>
      <c r="D935" s="8"/>
      <c r="E935" s="26"/>
      <c r="F935" s="35"/>
      <c r="G935" s="35"/>
      <c r="H935" s="35"/>
      <c r="I935" s="29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x14ac:dyDescent="0.35">
      <c r="A936" s="58"/>
      <c r="B936" s="8"/>
      <c r="C936" s="8"/>
      <c r="D936" s="8"/>
      <c r="E936" s="26"/>
      <c r="F936" s="35"/>
      <c r="G936" s="35"/>
      <c r="H936" s="35"/>
      <c r="I936" s="29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x14ac:dyDescent="0.35">
      <c r="A937" s="58"/>
      <c r="B937" s="8"/>
      <c r="C937" s="8"/>
      <c r="D937" s="8"/>
      <c r="E937" s="26"/>
      <c r="F937" s="35"/>
      <c r="G937" s="35"/>
      <c r="H937" s="35"/>
      <c r="I937" s="29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x14ac:dyDescent="0.35">
      <c r="A938" s="58"/>
      <c r="B938" s="8"/>
      <c r="C938" s="8"/>
      <c r="D938" s="8"/>
      <c r="E938" s="26"/>
      <c r="F938" s="35"/>
      <c r="G938" s="35"/>
      <c r="H938" s="35"/>
      <c r="I938" s="29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x14ac:dyDescent="0.35">
      <c r="A939" s="58"/>
      <c r="B939" s="8"/>
      <c r="C939" s="8"/>
      <c r="D939" s="8"/>
      <c r="E939" s="26"/>
      <c r="F939" s="35"/>
      <c r="G939" s="35"/>
      <c r="H939" s="35"/>
      <c r="I939" s="29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x14ac:dyDescent="0.35">
      <c r="A940" s="58"/>
      <c r="B940" s="8"/>
      <c r="C940" s="8"/>
      <c r="D940" s="8"/>
      <c r="E940" s="26"/>
      <c r="F940" s="35"/>
      <c r="G940" s="35"/>
      <c r="H940" s="35"/>
      <c r="I940" s="29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x14ac:dyDescent="0.35">
      <c r="A941" s="58"/>
      <c r="B941" s="8"/>
      <c r="C941" s="8"/>
      <c r="D941" s="8"/>
      <c r="E941" s="26"/>
      <c r="F941" s="35"/>
      <c r="G941" s="35"/>
      <c r="H941" s="35"/>
      <c r="I941" s="29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x14ac:dyDescent="0.35">
      <c r="A942" s="58"/>
      <c r="B942" s="8"/>
      <c r="C942" s="8"/>
      <c r="D942" s="8"/>
      <c r="E942" s="26"/>
      <c r="F942" s="35"/>
      <c r="G942" s="35"/>
      <c r="H942" s="35"/>
      <c r="I942" s="29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x14ac:dyDescent="0.35">
      <c r="A943" s="58"/>
      <c r="B943" s="8"/>
      <c r="C943" s="8"/>
      <c r="D943" s="8"/>
      <c r="E943" s="26"/>
      <c r="F943" s="35"/>
      <c r="G943" s="35"/>
      <c r="H943" s="35"/>
      <c r="I943" s="29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x14ac:dyDescent="0.35">
      <c r="A944" s="58"/>
      <c r="B944" s="8"/>
      <c r="C944" s="8"/>
      <c r="D944" s="8"/>
      <c r="E944" s="26"/>
      <c r="F944" s="35"/>
      <c r="G944" s="35"/>
      <c r="H944" s="35"/>
      <c r="I944" s="29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x14ac:dyDescent="0.35">
      <c r="A945" s="58"/>
      <c r="B945" s="8"/>
      <c r="C945" s="8"/>
      <c r="D945" s="8"/>
      <c r="E945" s="26"/>
      <c r="F945" s="35"/>
      <c r="G945" s="35"/>
      <c r="H945" s="35"/>
      <c r="I945" s="29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x14ac:dyDescent="0.35">
      <c r="A946" s="58"/>
      <c r="B946" s="8"/>
      <c r="C946" s="8"/>
      <c r="D946" s="8"/>
      <c r="E946" s="26"/>
      <c r="F946" s="35"/>
      <c r="G946" s="35"/>
      <c r="H946" s="35"/>
      <c r="I946" s="29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x14ac:dyDescent="0.35">
      <c r="A947" s="58"/>
      <c r="B947" s="8"/>
      <c r="C947" s="8"/>
      <c r="D947" s="8"/>
      <c r="E947" s="26"/>
      <c r="F947" s="35"/>
      <c r="G947" s="35"/>
      <c r="H947" s="35"/>
      <c r="I947" s="29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x14ac:dyDescent="0.35">
      <c r="A948" s="58"/>
      <c r="B948" s="8"/>
      <c r="C948" s="8"/>
      <c r="D948" s="8"/>
      <c r="E948" s="26"/>
      <c r="F948" s="35"/>
      <c r="G948" s="35"/>
      <c r="H948" s="35"/>
      <c r="I948" s="29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x14ac:dyDescent="0.35">
      <c r="A949" s="58"/>
      <c r="B949" s="8"/>
      <c r="C949" s="8"/>
      <c r="D949" s="8"/>
      <c r="E949" s="26"/>
      <c r="F949" s="35"/>
      <c r="G949" s="35"/>
      <c r="H949" s="35"/>
      <c r="I949" s="29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x14ac:dyDescent="0.35">
      <c r="A950" s="58"/>
      <c r="B950" s="8"/>
      <c r="C950" s="8"/>
      <c r="D950" s="8"/>
      <c r="E950" s="26"/>
      <c r="F950" s="35"/>
      <c r="G950" s="35"/>
      <c r="H950" s="35"/>
      <c r="I950" s="29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x14ac:dyDescent="0.35">
      <c r="A951" s="58"/>
      <c r="B951" s="8"/>
      <c r="C951" s="8"/>
      <c r="D951" s="8"/>
      <c r="E951" s="26"/>
      <c r="F951" s="35"/>
      <c r="G951" s="35"/>
      <c r="H951" s="35"/>
      <c r="I951" s="29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x14ac:dyDescent="0.35">
      <c r="A952" s="58"/>
      <c r="B952" s="8"/>
      <c r="C952" s="8"/>
      <c r="D952" s="8"/>
      <c r="E952" s="26"/>
      <c r="F952" s="35"/>
      <c r="G952" s="35"/>
      <c r="H952" s="35"/>
      <c r="I952" s="29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x14ac:dyDescent="0.35">
      <c r="A953" s="58"/>
      <c r="B953" s="8"/>
      <c r="C953" s="8"/>
      <c r="D953" s="8"/>
      <c r="E953" s="26"/>
      <c r="F953" s="35"/>
      <c r="G953" s="35"/>
      <c r="H953" s="35"/>
      <c r="I953" s="29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x14ac:dyDescent="0.35">
      <c r="A954" s="58"/>
      <c r="B954" s="8"/>
      <c r="C954" s="8"/>
      <c r="D954" s="8"/>
      <c r="E954" s="26"/>
      <c r="F954" s="35"/>
      <c r="G954" s="35"/>
      <c r="H954" s="35"/>
      <c r="I954" s="29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x14ac:dyDescent="0.35">
      <c r="A955" s="58"/>
      <c r="B955" s="8"/>
      <c r="C955" s="8"/>
      <c r="D955" s="8"/>
      <c r="E955" s="26"/>
      <c r="F955" s="35"/>
      <c r="G955" s="35"/>
      <c r="H955" s="35"/>
      <c r="I955" s="29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x14ac:dyDescent="0.35">
      <c r="A956" s="58"/>
      <c r="B956" s="8"/>
      <c r="C956" s="8"/>
      <c r="D956" s="8"/>
      <c r="E956" s="26"/>
      <c r="F956" s="35"/>
      <c r="G956" s="35"/>
      <c r="H956" s="35"/>
      <c r="I956" s="29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x14ac:dyDescent="0.35">
      <c r="A957" s="58"/>
      <c r="B957" s="8"/>
      <c r="C957" s="8"/>
      <c r="D957" s="8"/>
      <c r="E957" s="26"/>
      <c r="F957" s="35"/>
      <c r="G957" s="35"/>
      <c r="H957" s="35"/>
      <c r="I957" s="29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</sheetData>
  <mergeCells count="2">
    <mergeCell ref="B1:D1"/>
    <mergeCell ref="B14:D14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42B1-0E47-4A1A-9482-C1D4A5DBB3D6}">
  <dimension ref="A1:M949"/>
  <sheetViews>
    <sheetView zoomScale="70" zoomScaleNormal="70" workbookViewId="0">
      <selection activeCell="A354" sqref="A354"/>
    </sheetView>
  </sheetViews>
  <sheetFormatPr defaultColWidth="9" defaultRowHeight="14.4" x14ac:dyDescent="0.3"/>
  <cols>
    <col min="1" max="1" width="34.59765625" style="75" customWidth="1"/>
    <col min="2" max="2" width="13.5" style="75" customWidth="1"/>
    <col min="3" max="3" width="20.59765625" style="116" customWidth="1"/>
    <col min="4" max="4" width="20.69921875" style="116" customWidth="1"/>
    <col min="5" max="5" width="14.5" style="116" customWidth="1"/>
    <col min="6" max="6" width="9" style="75"/>
    <col min="7" max="7" width="37.19921875" style="75" customWidth="1"/>
    <col min="8" max="8" width="9" style="76"/>
    <col min="9" max="9" width="9" style="75"/>
    <col min="10" max="10" width="10.5" style="77" customWidth="1"/>
    <col min="11" max="11" width="10.5" style="75" customWidth="1"/>
    <col min="12" max="12" width="9" style="75"/>
    <col min="13" max="13" width="48.8984375" style="75" bestFit="1" customWidth="1"/>
    <col min="14" max="16384" width="9" style="75"/>
  </cols>
  <sheetData>
    <row r="1" spans="1:13" ht="33.9" customHeight="1" thickBot="1" x14ac:dyDescent="0.35">
      <c r="A1" s="69" t="s">
        <v>20</v>
      </c>
      <c r="B1" s="70">
        <f>SUM(K5:K1457)</f>
        <v>1375</v>
      </c>
      <c r="C1" s="71" t="s">
        <v>21</v>
      </c>
      <c r="D1" s="72">
        <f>COUNTA(H5:H1457)</f>
        <v>356</v>
      </c>
      <c r="E1" s="73" t="s">
        <v>22</v>
      </c>
      <c r="F1" s="74">
        <v>52</v>
      </c>
    </row>
    <row r="2" spans="1:13" ht="33.75" customHeight="1" thickBot="1" x14ac:dyDescent="0.35">
      <c r="A2" s="78" t="s">
        <v>8</v>
      </c>
      <c r="B2" s="128" t="s">
        <v>68</v>
      </c>
      <c r="C2" s="129"/>
      <c r="D2" s="130"/>
      <c r="E2" s="79" t="s">
        <v>23</v>
      </c>
      <c r="F2" s="80">
        <v>5</v>
      </c>
      <c r="H2" s="131" t="s">
        <v>24</v>
      </c>
      <c r="I2" s="132"/>
      <c r="J2" s="133"/>
      <c r="K2" s="137" t="s">
        <v>10</v>
      </c>
    </row>
    <row r="3" spans="1:13" ht="15" thickBot="1" x14ac:dyDescent="0.35">
      <c r="A3" s="81" t="s">
        <v>25</v>
      </c>
      <c r="B3" s="82"/>
      <c r="C3" s="83"/>
      <c r="D3" s="83"/>
      <c r="E3" s="83"/>
      <c r="H3" s="134"/>
      <c r="I3" s="135"/>
      <c r="J3" s="136"/>
      <c r="K3" s="138"/>
    </row>
    <row r="4" spans="1:13" ht="45.6" customHeight="1" thickBot="1" x14ac:dyDescent="0.35">
      <c r="A4" s="84" t="s">
        <v>26</v>
      </c>
      <c r="B4" s="85" t="s">
        <v>9</v>
      </c>
      <c r="C4" s="86" t="s">
        <v>27</v>
      </c>
      <c r="D4" s="87" t="s">
        <v>28</v>
      </c>
      <c r="E4" s="88"/>
      <c r="H4" s="89" t="s">
        <v>29</v>
      </c>
      <c r="I4" s="89" t="s">
        <v>30</v>
      </c>
      <c r="J4" s="90" t="s">
        <v>31</v>
      </c>
      <c r="K4" s="139"/>
    </row>
    <row r="5" spans="1:13" x14ac:dyDescent="0.3">
      <c r="A5" s="91" t="s">
        <v>70</v>
      </c>
      <c r="B5" s="92" t="s">
        <v>11</v>
      </c>
      <c r="C5" s="93"/>
      <c r="D5" s="94" t="s">
        <v>71</v>
      </c>
      <c r="E5" s="95"/>
      <c r="H5" s="96" t="s">
        <v>558</v>
      </c>
      <c r="I5" s="97"/>
      <c r="J5" s="98"/>
      <c r="K5" s="99">
        <f t="shared" ref="K5:K68" si="0">IF(H5 ="x",IF(B5="Fotó", 1,IF(B5 = "2D grafika", 3, IF(B5 = "3D grafika", 8, IF(B5 ="2D animáció", IF(J5&lt;=10, 25, IF(J5&lt;=20, 28, IF(J5&lt;=30, 31, IF(J5&lt;=40, 34, IF(J5&lt;=50, 37, 37 + ROUNDUP((J5-50)/10, 0)*3))))),IF(B5="3D animáció", IF(J5&lt;=10, 40, IF(J5&lt;=20, 48, IF(J5&lt;=30, 56, IF(J5&lt;=40, 64, IF(J5&lt;=50, 72, 72 + ROUNDUP((J5-50)/10, 0)*8))))), IF(B5="Videó egyszereplős", ROUNDUP(J5/10,0)*2, IF(B5 ="Videó egyszereplős narrációval", ROUNDUP(J5/10,0)*3, IF(B5="Videó többszereplős", ROUNDUP(J5/10,0)*2, IF(B5 ="Videó többszereplős narrációval", ROUNDUP(J5/10,0)*4, IF(B5 ="Hangzóanyag", ROUNDUP(J5/10,0)*1, IF(B5="Interaktív animáció (szimuláció)",13,0))))))))))),0)</f>
        <v>25</v>
      </c>
      <c r="M5" s="66" t="str">
        <f>HYPERLINK("EM-1.1.1_RRF221_media/BOROS-01_2DA-001.png")</f>
        <v>EM-1.1.1_RRF221_media/BOROS-01_2DA-001.png</v>
      </c>
    </row>
    <row r="6" spans="1:13" ht="27" x14ac:dyDescent="0.3">
      <c r="A6" s="100" t="s">
        <v>72</v>
      </c>
      <c r="B6" s="101" t="s">
        <v>11</v>
      </c>
      <c r="C6" s="102" t="s">
        <v>73</v>
      </c>
      <c r="D6" s="102" t="s">
        <v>74</v>
      </c>
      <c r="E6" s="95"/>
      <c r="H6" s="96" t="s">
        <v>558</v>
      </c>
      <c r="I6" s="103"/>
      <c r="J6" s="104"/>
      <c r="K6" s="99">
        <f t="shared" si="0"/>
        <v>25</v>
      </c>
      <c r="M6" s="105" t="str">
        <f>HYPERLINK("EM-1.1.1_RRF221_media/BOROS-01_2DA-002.png")</f>
        <v>EM-1.1.1_RRF221_media/BOROS-01_2DA-002.png</v>
      </c>
    </row>
    <row r="7" spans="1:13" ht="27" x14ac:dyDescent="0.3">
      <c r="A7" s="100" t="s">
        <v>75</v>
      </c>
      <c r="B7" s="101" t="s">
        <v>17</v>
      </c>
      <c r="C7" s="102" t="s">
        <v>73</v>
      </c>
      <c r="D7" s="102" t="s">
        <v>76</v>
      </c>
      <c r="E7" s="95"/>
      <c r="H7" s="96" t="s">
        <v>558</v>
      </c>
      <c r="I7" s="103"/>
      <c r="J7" s="104"/>
      <c r="K7" s="99">
        <f t="shared" si="0"/>
        <v>1</v>
      </c>
      <c r="M7" s="106" t="str">
        <f>HYPERLINK("EM-1.1.1_RRF221_media/BOROS-01_SF-002.jpg")</f>
        <v>EM-1.1.1_RRF221_media/BOROS-01_SF-002.jpg</v>
      </c>
    </row>
    <row r="8" spans="1:13" ht="27" x14ac:dyDescent="0.3">
      <c r="A8" s="100" t="s">
        <v>77</v>
      </c>
      <c r="B8" s="101" t="s">
        <v>17</v>
      </c>
      <c r="C8" s="102" t="s">
        <v>73</v>
      </c>
      <c r="D8" s="102" t="s">
        <v>76</v>
      </c>
      <c r="E8" s="95"/>
      <c r="H8" s="96" t="s">
        <v>558</v>
      </c>
      <c r="I8" s="103"/>
      <c r="J8" s="104"/>
      <c r="K8" s="99">
        <f t="shared" si="0"/>
        <v>1</v>
      </c>
      <c r="M8" s="106" t="str">
        <f>HYPERLINK("EM-1.1.1_RRF221_media/BOROS-01_SF-001.jpg")</f>
        <v>EM-1.1.1_RRF221_media/BOROS-01_SF-001.jpg</v>
      </c>
    </row>
    <row r="9" spans="1:13" ht="27" x14ac:dyDescent="0.3">
      <c r="A9" s="100" t="s">
        <v>78</v>
      </c>
      <c r="B9" s="101" t="s">
        <v>17</v>
      </c>
      <c r="C9" s="102" t="s">
        <v>73</v>
      </c>
      <c r="D9" s="102" t="s">
        <v>76</v>
      </c>
      <c r="E9" s="95"/>
      <c r="H9" s="96" t="s">
        <v>558</v>
      </c>
      <c r="I9" s="103"/>
      <c r="J9" s="104"/>
      <c r="K9" s="99">
        <f t="shared" si="0"/>
        <v>1</v>
      </c>
      <c r="M9" s="106" t="str">
        <f>HYPERLINK("EM-1.1.1_RRF221_media/BOROS-01_SF-003.jpg")</f>
        <v>EM-1.1.1_RRF221_media/BOROS-01_SF-003.jpg</v>
      </c>
    </row>
    <row r="10" spans="1:13" ht="27" x14ac:dyDescent="0.3">
      <c r="A10" s="107" t="s">
        <v>79</v>
      </c>
      <c r="B10" s="101" t="s">
        <v>17</v>
      </c>
      <c r="C10" s="102" t="s">
        <v>73</v>
      </c>
      <c r="D10" s="102" t="s">
        <v>80</v>
      </c>
      <c r="E10" s="95"/>
      <c r="H10" s="96" t="s">
        <v>558</v>
      </c>
      <c r="I10" s="96"/>
      <c r="J10" s="108"/>
      <c r="K10" s="99">
        <f t="shared" si="0"/>
        <v>1</v>
      </c>
      <c r="M10" s="106" t="str">
        <f>HYPERLINK("EM-1.1.1_RRF221_media/BOROS-01_SF-004.jpg")</f>
        <v>EM-1.1.1_RRF221_media/BOROS-01_SF-004.jpg</v>
      </c>
    </row>
    <row r="11" spans="1:13" ht="27" x14ac:dyDescent="0.3">
      <c r="A11" s="107" t="s">
        <v>81</v>
      </c>
      <c r="B11" s="101" t="s">
        <v>17</v>
      </c>
      <c r="C11" s="102" t="s">
        <v>73</v>
      </c>
      <c r="D11" s="102" t="s">
        <v>80</v>
      </c>
      <c r="E11" s="95"/>
      <c r="H11" s="96" t="s">
        <v>558</v>
      </c>
      <c r="I11" s="103"/>
      <c r="J11" s="104"/>
      <c r="K11" s="99">
        <f t="shared" si="0"/>
        <v>1</v>
      </c>
      <c r="M11" s="106" t="str">
        <f>HYPERLINK("EM-1.1.1_RRF221_media/BOROS-01_SF-005.jpg")</f>
        <v>EM-1.1.1_RRF221_media/BOROS-01_SF-005.jpg</v>
      </c>
    </row>
    <row r="12" spans="1:13" ht="27" x14ac:dyDescent="0.3">
      <c r="A12" s="107" t="s">
        <v>82</v>
      </c>
      <c r="B12" s="101" t="s">
        <v>13</v>
      </c>
      <c r="C12" s="102" t="s">
        <v>73</v>
      </c>
      <c r="D12" s="102" t="s">
        <v>83</v>
      </c>
      <c r="E12" s="95"/>
      <c r="H12" s="96" t="s">
        <v>558</v>
      </c>
      <c r="I12" s="103"/>
      <c r="J12" s="104"/>
      <c r="K12" s="99">
        <f t="shared" si="0"/>
        <v>3</v>
      </c>
      <c r="M12" s="106" t="str">
        <f>HYPERLINK("EM-1.1.1_RRF221_media/BOROS-01_2D-001_02.png")</f>
        <v>EM-1.1.1_RRF221_media/BOROS-01_2D-001_02.png</v>
      </c>
    </row>
    <row r="13" spans="1:13" ht="27" x14ac:dyDescent="0.3">
      <c r="A13" s="107" t="s">
        <v>84</v>
      </c>
      <c r="B13" s="101" t="s">
        <v>13</v>
      </c>
      <c r="C13" s="102" t="s">
        <v>73</v>
      </c>
      <c r="D13" s="102" t="s">
        <v>83</v>
      </c>
      <c r="E13" s="95"/>
      <c r="H13" s="96" t="s">
        <v>558</v>
      </c>
      <c r="I13" s="103"/>
      <c r="J13" s="104"/>
      <c r="K13" s="99">
        <f t="shared" si="0"/>
        <v>3</v>
      </c>
      <c r="M13" s="106" t="str">
        <f>HYPERLINK("EM-1.1.1_RRF221_media/BOROS-01_2D-003_02.png")</f>
        <v>EM-1.1.1_RRF221_media/BOROS-01_2D-003_02.png</v>
      </c>
    </row>
    <row r="14" spans="1:13" ht="27" x14ac:dyDescent="0.3">
      <c r="A14" s="107" t="s">
        <v>85</v>
      </c>
      <c r="B14" s="101" t="s">
        <v>13</v>
      </c>
      <c r="C14" s="102" t="s">
        <v>73</v>
      </c>
      <c r="D14" s="102" t="s">
        <v>83</v>
      </c>
      <c r="E14" s="95"/>
      <c r="H14" s="96" t="s">
        <v>558</v>
      </c>
      <c r="I14" s="103"/>
      <c r="J14" s="104"/>
      <c r="K14" s="99">
        <f t="shared" si="0"/>
        <v>3</v>
      </c>
      <c r="M14" s="106" t="str">
        <f>HYPERLINK("EM-1.1.1_RRF221_media/BOROS-01_2D-004_01.png")</f>
        <v>EM-1.1.1_RRF221_media/BOROS-01_2D-004_01.png</v>
      </c>
    </row>
    <row r="15" spans="1:13" ht="27" x14ac:dyDescent="0.3">
      <c r="A15" s="107" t="s">
        <v>86</v>
      </c>
      <c r="B15" s="101" t="s">
        <v>13</v>
      </c>
      <c r="C15" s="102" t="s">
        <v>73</v>
      </c>
      <c r="D15" s="102" t="s">
        <v>83</v>
      </c>
      <c r="E15" s="95"/>
      <c r="H15" s="96" t="s">
        <v>558</v>
      </c>
      <c r="I15" s="96"/>
      <c r="J15" s="108"/>
      <c r="K15" s="99">
        <f t="shared" si="0"/>
        <v>3</v>
      </c>
      <c r="M15" s="106" t="str">
        <f>HYPERLINK("EM-1.1.1_RRF221_media/BOROS-01_2D-004_02.png")</f>
        <v>EM-1.1.1_RRF221_media/BOROS-01_2D-004_02.png</v>
      </c>
    </row>
    <row r="16" spans="1:13" ht="27" x14ac:dyDescent="0.3">
      <c r="A16" s="107" t="s">
        <v>87</v>
      </c>
      <c r="B16" s="101" t="s">
        <v>13</v>
      </c>
      <c r="C16" s="102" t="s">
        <v>73</v>
      </c>
      <c r="D16" s="102" t="s">
        <v>83</v>
      </c>
      <c r="E16" s="95"/>
      <c r="H16" s="96" t="s">
        <v>558</v>
      </c>
      <c r="I16" s="103"/>
      <c r="J16" s="104"/>
      <c r="K16" s="99">
        <f t="shared" si="0"/>
        <v>3</v>
      </c>
      <c r="M16" s="106" t="str">
        <f>HYPERLINK("EM-1.1.1_RRF221_media/BOROS-01_2D-001_01.png")</f>
        <v>EM-1.1.1_RRF221_media/BOROS-01_2D-001_01.png</v>
      </c>
    </row>
    <row r="17" spans="1:13" ht="27" x14ac:dyDescent="0.3">
      <c r="A17" s="107" t="s">
        <v>88</v>
      </c>
      <c r="B17" s="101" t="s">
        <v>13</v>
      </c>
      <c r="C17" s="102" t="s">
        <v>73</v>
      </c>
      <c r="D17" s="102" t="s">
        <v>83</v>
      </c>
      <c r="E17" s="95"/>
      <c r="H17" s="96" t="s">
        <v>558</v>
      </c>
      <c r="I17" s="103"/>
      <c r="J17" s="104"/>
      <c r="K17" s="99">
        <f t="shared" si="0"/>
        <v>3</v>
      </c>
      <c r="M17" s="106" t="str">
        <f>HYPERLINK("EM-1.1.1_RRF221_media/BOROS-01_2D-002_01.png")</f>
        <v>EM-1.1.1_RRF221_media/BOROS-01_2D-002_01.png</v>
      </c>
    </row>
    <row r="18" spans="1:13" ht="27" x14ac:dyDescent="0.3">
      <c r="A18" s="107" t="s">
        <v>89</v>
      </c>
      <c r="B18" s="101" t="s">
        <v>13</v>
      </c>
      <c r="C18" s="102" t="s">
        <v>73</v>
      </c>
      <c r="D18" s="102" t="s">
        <v>83</v>
      </c>
      <c r="E18" s="95"/>
      <c r="H18" s="96" t="s">
        <v>558</v>
      </c>
      <c r="I18" s="103"/>
      <c r="J18" s="104"/>
      <c r="K18" s="99">
        <f t="shared" si="0"/>
        <v>3</v>
      </c>
      <c r="M18" s="106" t="str">
        <f>HYPERLINK("EM-1.1.1_RRF221_media/BOROS-01_2D-002_02.png")</f>
        <v>EM-1.1.1_RRF221_media/BOROS-01_2D-002_02.png</v>
      </c>
    </row>
    <row r="19" spans="1:13" ht="27" x14ac:dyDescent="0.3">
      <c r="A19" s="107" t="s">
        <v>90</v>
      </c>
      <c r="B19" s="101" t="s">
        <v>13</v>
      </c>
      <c r="C19" s="102" t="s">
        <v>73</v>
      </c>
      <c r="D19" s="102" t="s">
        <v>83</v>
      </c>
      <c r="E19" s="95"/>
      <c r="H19" s="96" t="s">
        <v>558</v>
      </c>
      <c r="I19" s="103"/>
      <c r="J19" s="104"/>
      <c r="K19" s="99">
        <f t="shared" si="0"/>
        <v>3</v>
      </c>
      <c r="M19" s="106" t="str">
        <f>HYPERLINK("EM-1.1.1_RRF221_media/BOROS-01_2D-003_01.png")</f>
        <v>EM-1.1.1_RRF221_media/BOROS-01_2D-003_01.png</v>
      </c>
    </row>
    <row r="20" spans="1:13" ht="27" x14ac:dyDescent="0.3">
      <c r="A20" s="107" t="s">
        <v>91</v>
      </c>
      <c r="B20" s="101" t="s">
        <v>17</v>
      </c>
      <c r="C20" s="102" t="s">
        <v>73</v>
      </c>
      <c r="D20" s="102" t="s">
        <v>92</v>
      </c>
      <c r="E20" s="95"/>
      <c r="H20" s="96" t="s">
        <v>558</v>
      </c>
      <c r="I20" s="96"/>
      <c r="J20" s="108"/>
      <c r="K20" s="99">
        <f t="shared" si="0"/>
        <v>1</v>
      </c>
      <c r="M20" s="106" t="str">
        <f>HYPERLINK("EM-1.1.1_RRF221_media/BOROS-01_SF-007.jpg")</f>
        <v>EM-1.1.1_RRF221_media/BOROS-01_SF-007.jpg</v>
      </c>
    </row>
    <row r="21" spans="1:13" ht="27" x14ac:dyDescent="0.3">
      <c r="A21" s="107" t="s">
        <v>93</v>
      </c>
      <c r="B21" s="101" t="s">
        <v>17</v>
      </c>
      <c r="C21" s="102" t="s">
        <v>73</v>
      </c>
      <c r="D21" s="102" t="s">
        <v>92</v>
      </c>
      <c r="E21" s="95"/>
      <c r="H21" s="96" t="s">
        <v>558</v>
      </c>
      <c r="I21" s="103"/>
      <c r="J21" s="104"/>
      <c r="K21" s="99">
        <f t="shared" si="0"/>
        <v>1</v>
      </c>
      <c r="M21" s="106" t="str">
        <f>HYPERLINK("EM-1.1.1_RRF221_media/BOROS-01_SF-006.jpg")</f>
        <v>EM-1.1.1_RRF221_media/BOROS-01_SF-006.jpg</v>
      </c>
    </row>
    <row r="22" spans="1:13" ht="40.200000000000003" x14ac:dyDescent="0.3">
      <c r="A22" s="107" t="s">
        <v>94</v>
      </c>
      <c r="B22" s="101" t="s">
        <v>17</v>
      </c>
      <c r="C22" s="102" t="s">
        <v>73</v>
      </c>
      <c r="D22" s="102" t="s">
        <v>95</v>
      </c>
      <c r="E22" s="95"/>
      <c r="H22" s="96" t="s">
        <v>558</v>
      </c>
      <c r="I22" s="103"/>
      <c r="J22" s="104"/>
      <c r="K22" s="99">
        <f t="shared" si="0"/>
        <v>1</v>
      </c>
      <c r="M22" s="106" t="str">
        <f>HYPERLINK("EM-1.1.1_RRF221_media/BOROS-01_SF-008.jpg")</f>
        <v>EM-1.1.1_RRF221_media/BOROS-01_SF-008.jpg</v>
      </c>
    </row>
    <row r="23" spans="1:13" ht="66.599999999999994" x14ac:dyDescent="0.3">
      <c r="A23" s="107" t="s">
        <v>96</v>
      </c>
      <c r="B23" s="101" t="s">
        <v>11</v>
      </c>
      <c r="C23" s="102" t="s">
        <v>97</v>
      </c>
      <c r="D23" s="102" t="s">
        <v>74</v>
      </c>
      <c r="E23" s="95"/>
      <c r="H23" s="96" t="s">
        <v>558</v>
      </c>
      <c r="I23" s="103"/>
      <c r="J23" s="104"/>
      <c r="K23" s="99">
        <f t="shared" si="0"/>
        <v>25</v>
      </c>
      <c r="M23" s="106" t="str">
        <f>HYPERLINK("EM-1.1.1_RRF221_media/BOROS-01_2DA-003.png")</f>
        <v>EM-1.1.1_RRF221_media/BOROS-01_2DA-003.png</v>
      </c>
    </row>
    <row r="24" spans="1:13" ht="66.599999999999994" x14ac:dyDescent="0.3">
      <c r="A24" s="107" t="s">
        <v>98</v>
      </c>
      <c r="B24" s="101" t="s">
        <v>17</v>
      </c>
      <c r="C24" s="102" t="s">
        <v>97</v>
      </c>
      <c r="D24" s="102" t="s">
        <v>99</v>
      </c>
      <c r="E24" s="95"/>
      <c r="H24" s="96" t="s">
        <v>558</v>
      </c>
      <c r="I24" s="103"/>
      <c r="J24" s="104"/>
      <c r="K24" s="99">
        <f t="shared" si="0"/>
        <v>1</v>
      </c>
      <c r="M24" s="106" t="str">
        <f>HYPERLINK("EM-1.1.1_RRF221_media/BOROS-01_SF-009.jpg")</f>
        <v>EM-1.1.1_RRF221_media/BOROS-01_SF-009.jpg</v>
      </c>
    </row>
    <row r="25" spans="1:13" ht="66.599999999999994" x14ac:dyDescent="0.3">
      <c r="A25" s="107" t="s">
        <v>100</v>
      </c>
      <c r="B25" s="101" t="s">
        <v>13</v>
      </c>
      <c r="C25" s="102" t="s">
        <v>97</v>
      </c>
      <c r="D25" s="102" t="s">
        <v>101</v>
      </c>
      <c r="E25" s="95"/>
      <c r="H25" s="96" t="s">
        <v>558</v>
      </c>
      <c r="I25" s="96"/>
      <c r="J25" s="108"/>
      <c r="K25" s="99">
        <f t="shared" si="0"/>
        <v>3</v>
      </c>
      <c r="M25" s="106" t="str">
        <f>HYPERLINK("EM-1.1.1_RRF221_media/BOROS-01_2D-005_01.png")</f>
        <v>EM-1.1.1_RRF221_media/BOROS-01_2D-005_01.png</v>
      </c>
    </row>
    <row r="26" spans="1:13" ht="66.599999999999994" x14ac:dyDescent="0.3">
      <c r="A26" s="107" t="s">
        <v>102</v>
      </c>
      <c r="B26" s="101" t="s">
        <v>13</v>
      </c>
      <c r="C26" s="102" t="s">
        <v>97</v>
      </c>
      <c r="D26" s="102" t="s">
        <v>101</v>
      </c>
      <c r="E26" s="95"/>
      <c r="H26" s="96" t="s">
        <v>558</v>
      </c>
      <c r="I26" s="103"/>
      <c r="J26" s="104"/>
      <c r="K26" s="99">
        <f t="shared" si="0"/>
        <v>3</v>
      </c>
      <c r="M26" s="106" t="str">
        <f>HYPERLINK("EM-1.1.1_RRF221_media/BOROS-01_2D-005_04.png")</f>
        <v>EM-1.1.1_RRF221_media/BOROS-01_2D-005_04.png</v>
      </c>
    </row>
    <row r="27" spans="1:13" ht="66.599999999999994" x14ac:dyDescent="0.3">
      <c r="A27" s="107" t="s">
        <v>103</v>
      </c>
      <c r="B27" s="101" t="s">
        <v>13</v>
      </c>
      <c r="C27" s="102" t="s">
        <v>97</v>
      </c>
      <c r="D27" s="102" t="s">
        <v>101</v>
      </c>
      <c r="E27" s="95"/>
      <c r="H27" s="96" t="s">
        <v>558</v>
      </c>
      <c r="I27" s="103"/>
      <c r="J27" s="104"/>
      <c r="K27" s="99">
        <f t="shared" si="0"/>
        <v>3</v>
      </c>
      <c r="M27" s="106" t="str">
        <f>HYPERLINK("EM-1.1.1_RRF221_media/BOROS-01_2D-005_02.png")</f>
        <v>EM-1.1.1_RRF221_media/BOROS-01_2D-005_02.png</v>
      </c>
    </row>
    <row r="28" spans="1:13" ht="66.599999999999994" x14ac:dyDescent="0.3">
      <c r="A28" s="107" t="s">
        <v>104</v>
      </c>
      <c r="B28" s="101" t="s">
        <v>13</v>
      </c>
      <c r="C28" s="102" t="s">
        <v>97</v>
      </c>
      <c r="D28" s="102" t="s">
        <v>101</v>
      </c>
      <c r="E28" s="95"/>
      <c r="H28" s="96" t="s">
        <v>558</v>
      </c>
      <c r="I28" s="103"/>
      <c r="J28" s="104"/>
      <c r="K28" s="99">
        <f t="shared" si="0"/>
        <v>3</v>
      </c>
      <c r="M28" s="66" t="str">
        <f>HYPERLINK("EM-1.1.1_RRF221_media/BOROS-01_2D-005_05.png")</f>
        <v>EM-1.1.1_RRF221_media/BOROS-01_2D-005_05.png</v>
      </c>
    </row>
    <row r="29" spans="1:13" ht="66.599999999999994" x14ac:dyDescent="0.3">
      <c r="A29" s="107" t="s">
        <v>105</v>
      </c>
      <c r="B29" s="101" t="s">
        <v>13</v>
      </c>
      <c r="C29" s="102" t="s">
        <v>97</v>
      </c>
      <c r="D29" s="102" t="s">
        <v>101</v>
      </c>
      <c r="E29" s="95"/>
      <c r="H29" s="96" t="s">
        <v>558</v>
      </c>
      <c r="I29" s="103"/>
      <c r="J29" s="104"/>
      <c r="K29" s="99">
        <f t="shared" si="0"/>
        <v>3</v>
      </c>
      <c r="M29" s="106" t="str">
        <f>HYPERLINK("EM-1.1.1_RRF221_media/BOROS-01_2D-005_03.png")</f>
        <v>EM-1.1.1_RRF221_media/BOROS-01_2D-005_03.png</v>
      </c>
    </row>
    <row r="30" spans="1:13" ht="66.599999999999994" x14ac:dyDescent="0.3">
      <c r="A30" s="107" t="s">
        <v>106</v>
      </c>
      <c r="B30" s="101" t="s">
        <v>17</v>
      </c>
      <c r="C30" s="102" t="s">
        <v>97</v>
      </c>
      <c r="D30" s="102" t="s">
        <v>107</v>
      </c>
      <c r="E30" s="95"/>
      <c r="H30" s="96" t="s">
        <v>558</v>
      </c>
      <c r="I30" s="96"/>
      <c r="J30" s="108"/>
      <c r="K30" s="99">
        <f t="shared" si="0"/>
        <v>1</v>
      </c>
      <c r="M30" s="106" t="str">
        <f>HYPERLINK("EM-1.1.1_RRF221_media/BOROS-01_SF-013.jpg")</f>
        <v>EM-1.1.1_RRF221_media/BOROS-01_SF-013.jpg</v>
      </c>
    </row>
    <row r="31" spans="1:13" ht="66.599999999999994" x14ac:dyDescent="0.3">
      <c r="A31" s="107" t="s">
        <v>108</v>
      </c>
      <c r="B31" s="101" t="s">
        <v>17</v>
      </c>
      <c r="C31" s="102" t="s">
        <v>97</v>
      </c>
      <c r="D31" s="102" t="s">
        <v>107</v>
      </c>
      <c r="E31" s="95"/>
      <c r="H31" s="96" t="s">
        <v>558</v>
      </c>
      <c r="I31" s="103"/>
      <c r="J31" s="104"/>
      <c r="K31" s="99">
        <f t="shared" si="0"/>
        <v>1</v>
      </c>
      <c r="M31" s="106" t="str">
        <f>HYPERLINK("EM-1.1.1_RRF221_media/BOROS-01_SF-011.jpg")</f>
        <v>EM-1.1.1_RRF221_media/BOROS-01_SF-011.jpg</v>
      </c>
    </row>
    <row r="32" spans="1:13" ht="66.599999999999994" x14ac:dyDescent="0.3">
      <c r="A32" s="107" t="s">
        <v>109</v>
      </c>
      <c r="B32" s="101" t="s">
        <v>17</v>
      </c>
      <c r="C32" s="102" t="s">
        <v>97</v>
      </c>
      <c r="D32" s="102" t="s">
        <v>107</v>
      </c>
      <c r="E32" s="95"/>
      <c r="H32" s="96" t="s">
        <v>558</v>
      </c>
      <c r="I32" s="103"/>
      <c r="J32" s="104"/>
      <c r="K32" s="99">
        <f t="shared" si="0"/>
        <v>1</v>
      </c>
      <c r="M32" s="106" t="str">
        <f>HYPERLINK("EM-1.1.1_RRF221_media/BOROS-01_SF-012.jpg")</f>
        <v>EM-1.1.1_RRF221_media/BOROS-01_SF-012.jpg</v>
      </c>
    </row>
    <row r="33" spans="1:13" ht="66.599999999999994" x14ac:dyDescent="0.3">
      <c r="A33" s="107" t="s">
        <v>110</v>
      </c>
      <c r="B33" s="101" t="s">
        <v>17</v>
      </c>
      <c r="C33" s="102" t="s">
        <v>97</v>
      </c>
      <c r="D33" s="102" t="s">
        <v>107</v>
      </c>
      <c r="E33" s="95"/>
      <c r="H33" s="96" t="s">
        <v>558</v>
      </c>
      <c r="I33" s="103"/>
      <c r="J33" s="104"/>
      <c r="K33" s="99">
        <f t="shared" si="0"/>
        <v>1</v>
      </c>
      <c r="M33" s="106" t="str">
        <f>HYPERLINK("EM-1.1.1_RRF221_media/BOROS-01_SF-010.jpg")</f>
        <v>EM-1.1.1_RRF221_media/BOROS-01_SF-010.jpg</v>
      </c>
    </row>
    <row r="34" spans="1:13" ht="66.599999999999994" x14ac:dyDescent="0.3">
      <c r="A34" s="107" t="s">
        <v>111</v>
      </c>
      <c r="B34" s="101" t="s">
        <v>13</v>
      </c>
      <c r="C34" s="102" t="s">
        <v>97</v>
      </c>
      <c r="D34" s="102" t="s">
        <v>112</v>
      </c>
      <c r="E34" s="95"/>
      <c r="H34" s="96" t="s">
        <v>558</v>
      </c>
      <c r="I34" s="103"/>
      <c r="J34" s="104"/>
      <c r="K34" s="99">
        <f t="shared" si="0"/>
        <v>3</v>
      </c>
      <c r="M34" s="106" t="str">
        <f>HYPERLINK("EM-1.1.1_RRF221_media/BOROS-01_2D-007.png")</f>
        <v>EM-1.1.1_RRF221_media/BOROS-01_2D-007.png</v>
      </c>
    </row>
    <row r="35" spans="1:13" ht="66.599999999999994" x14ac:dyDescent="0.3">
      <c r="A35" s="107" t="s">
        <v>113</v>
      </c>
      <c r="B35" s="101" t="s">
        <v>13</v>
      </c>
      <c r="C35" s="102" t="s">
        <v>97</v>
      </c>
      <c r="D35" s="102" t="s">
        <v>112</v>
      </c>
      <c r="E35" s="95"/>
      <c r="H35" s="96" t="s">
        <v>558</v>
      </c>
      <c r="I35" s="96"/>
      <c r="J35" s="108"/>
      <c r="K35" s="99">
        <f t="shared" si="0"/>
        <v>3</v>
      </c>
      <c r="M35" s="106" t="str">
        <f>HYPERLINK("EM-1.1.1_RRF221_media/BOROS-01_2D-006.png")</f>
        <v>EM-1.1.1_RRF221_media/BOROS-01_2D-006.png</v>
      </c>
    </row>
    <row r="36" spans="1:13" ht="79.8" x14ac:dyDescent="0.3">
      <c r="A36" s="107" t="s">
        <v>114</v>
      </c>
      <c r="B36" s="101" t="s">
        <v>11</v>
      </c>
      <c r="C36" s="102" t="s">
        <v>115</v>
      </c>
      <c r="D36" s="102" t="s">
        <v>74</v>
      </c>
      <c r="E36" s="95"/>
      <c r="H36" s="96" t="s">
        <v>558</v>
      </c>
      <c r="I36" s="103"/>
      <c r="J36" s="104"/>
      <c r="K36" s="99">
        <f t="shared" si="0"/>
        <v>25</v>
      </c>
      <c r="M36" s="106" t="str">
        <f>HYPERLINK("EM-1.1.1_RRF221_media/BOROS-01_2DA-004.png")</f>
        <v>EM-1.1.1_RRF221_media/BOROS-01_2DA-004.png</v>
      </c>
    </row>
    <row r="37" spans="1:13" ht="79.8" x14ac:dyDescent="0.3">
      <c r="A37" s="107" t="s">
        <v>116</v>
      </c>
      <c r="B37" s="101" t="s">
        <v>17</v>
      </c>
      <c r="C37" s="102" t="s">
        <v>115</v>
      </c>
      <c r="D37" s="102" t="s">
        <v>117</v>
      </c>
      <c r="E37" s="95"/>
      <c r="H37" s="96" t="s">
        <v>558</v>
      </c>
      <c r="I37" s="103"/>
      <c r="J37" s="104"/>
      <c r="K37" s="99">
        <f t="shared" si="0"/>
        <v>1</v>
      </c>
      <c r="M37" s="106" t="str">
        <f>HYPERLINK("EM-1.1.1_RRF221_media/BOROS-01_SF-017.jpg")</f>
        <v>EM-1.1.1_RRF221_media/BOROS-01_SF-017.jpg</v>
      </c>
    </row>
    <row r="38" spans="1:13" ht="79.8" x14ac:dyDescent="0.3">
      <c r="A38" s="107" t="s">
        <v>118</v>
      </c>
      <c r="B38" s="101" t="s">
        <v>17</v>
      </c>
      <c r="C38" s="102" t="s">
        <v>115</v>
      </c>
      <c r="D38" s="102" t="s">
        <v>117</v>
      </c>
      <c r="E38" s="95"/>
      <c r="H38" s="96" t="s">
        <v>558</v>
      </c>
      <c r="I38" s="103"/>
      <c r="J38" s="104"/>
      <c r="K38" s="99">
        <f t="shared" si="0"/>
        <v>1</v>
      </c>
      <c r="M38" s="106" t="str">
        <f>HYPERLINK("EM-1.1.1_RRF221_media/BOROS-01_SF-015.jpg")</f>
        <v>EM-1.1.1_RRF221_media/BOROS-01_SF-015.jpg</v>
      </c>
    </row>
    <row r="39" spans="1:13" ht="79.8" x14ac:dyDescent="0.3">
      <c r="A39" s="107" t="s">
        <v>119</v>
      </c>
      <c r="B39" s="101" t="s">
        <v>17</v>
      </c>
      <c r="C39" s="102" t="s">
        <v>115</v>
      </c>
      <c r="D39" s="102" t="s">
        <v>117</v>
      </c>
      <c r="E39" s="95"/>
      <c r="H39" s="96" t="s">
        <v>558</v>
      </c>
      <c r="I39" s="103"/>
      <c r="J39" s="104"/>
      <c r="K39" s="99">
        <f t="shared" si="0"/>
        <v>1</v>
      </c>
      <c r="M39" s="106" t="str">
        <f>HYPERLINK("EM-1.1.1_RRF221_media/BOROS-01_SF-016.jpg")</f>
        <v>EM-1.1.1_RRF221_media/BOROS-01_SF-016.jpg</v>
      </c>
    </row>
    <row r="40" spans="1:13" ht="79.8" x14ac:dyDescent="0.3">
      <c r="A40" s="107" t="s">
        <v>120</v>
      </c>
      <c r="B40" s="101" t="s">
        <v>17</v>
      </c>
      <c r="C40" s="102" t="s">
        <v>115</v>
      </c>
      <c r="D40" s="102" t="s">
        <v>117</v>
      </c>
      <c r="E40" s="95"/>
      <c r="H40" s="96" t="s">
        <v>558</v>
      </c>
      <c r="I40" s="96"/>
      <c r="J40" s="108"/>
      <c r="K40" s="99">
        <f t="shared" si="0"/>
        <v>1</v>
      </c>
      <c r="M40" s="106" t="str">
        <f>HYPERLINK("EM-1.1.1_RRF221_media/BOROS-01_SF-014.jpg")</f>
        <v>EM-1.1.1_RRF221_media/BOROS-01_SF-014.jpg</v>
      </c>
    </row>
    <row r="41" spans="1:13" ht="79.8" x14ac:dyDescent="0.3">
      <c r="A41" s="107" t="s">
        <v>121</v>
      </c>
      <c r="B41" s="101" t="s">
        <v>17</v>
      </c>
      <c r="C41" s="102" t="s">
        <v>115</v>
      </c>
      <c r="D41" s="102" t="s">
        <v>122</v>
      </c>
      <c r="E41" s="95"/>
      <c r="H41" s="96" t="s">
        <v>558</v>
      </c>
      <c r="I41" s="103"/>
      <c r="J41" s="104"/>
      <c r="K41" s="99">
        <f t="shared" si="0"/>
        <v>1</v>
      </c>
      <c r="M41" s="106" t="str">
        <f>HYPERLINK("EM-1.1.1_RRF221_media/BOROS-01_SF-019.jpg")</f>
        <v>EM-1.1.1_RRF221_media/BOROS-01_SF-019.jpg</v>
      </c>
    </row>
    <row r="42" spans="1:13" ht="79.8" x14ac:dyDescent="0.3">
      <c r="A42" s="107" t="s">
        <v>123</v>
      </c>
      <c r="B42" s="101" t="s">
        <v>17</v>
      </c>
      <c r="C42" s="102" t="s">
        <v>115</v>
      </c>
      <c r="D42" s="102" t="s">
        <v>122</v>
      </c>
      <c r="E42" s="95"/>
      <c r="H42" s="96" t="s">
        <v>558</v>
      </c>
      <c r="I42" s="103"/>
      <c r="J42" s="104"/>
      <c r="K42" s="99">
        <f t="shared" si="0"/>
        <v>1</v>
      </c>
      <c r="M42" s="66" t="str">
        <f>HYPERLINK("EM-1.1.1_RRF221_media/BOROS-01_SF-021.jpg")</f>
        <v>EM-1.1.1_RRF221_media/BOROS-01_SF-021.jpg</v>
      </c>
    </row>
    <row r="43" spans="1:13" ht="79.8" x14ac:dyDescent="0.3">
      <c r="A43" s="107" t="s">
        <v>124</v>
      </c>
      <c r="B43" s="101" t="s">
        <v>17</v>
      </c>
      <c r="C43" s="102" t="s">
        <v>115</v>
      </c>
      <c r="D43" s="102" t="s">
        <v>122</v>
      </c>
      <c r="E43" s="95"/>
      <c r="H43" s="96" t="s">
        <v>558</v>
      </c>
      <c r="I43" s="103"/>
      <c r="J43" s="104"/>
      <c r="K43" s="99">
        <f t="shared" si="0"/>
        <v>1</v>
      </c>
      <c r="M43" s="106" t="str">
        <f>HYPERLINK("EM-1.1.1_RRF221_media/BOROS-01_SF-020.jpg")</f>
        <v>EM-1.1.1_RRF221_media/BOROS-01_SF-020.jpg</v>
      </c>
    </row>
    <row r="44" spans="1:13" ht="79.8" x14ac:dyDescent="0.3">
      <c r="A44" s="107" t="s">
        <v>125</v>
      </c>
      <c r="B44" s="101" t="s">
        <v>17</v>
      </c>
      <c r="C44" s="102" t="s">
        <v>115</v>
      </c>
      <c r="D44" s="102" t="s">
        <v>126</v>
      </c>
      <c r="E44" s="95"/>
      <c r="H44" s="96" t="s">
        <v>558</v>
      </c>
      <c r="I44" s="103"/>
      <c r="J44" s="104"/>
      <c r="K44" s="99">
        <f t="shared" si="0"/>
        <v>1</v>
      </c>
      <c r="M44" s="66" t="str">
        <f>HYPERLINK("EM-1.1.1_RRF221_media/BOROS-01_SF-022.jpg")</f>
        <v>EM-1.1.1_RRF221_media/BOROS-01_SF-022.jpg</v>
      </c>
    </row>
    <row r="45" spans="1:13" ht="79.8" x14ac:dyDescent="0.3">
      <c r="A45" s="107" t="s">
        <v>127</v>
      </c>
      <c r="B45" s="101" t="s">
        <v>17</v>
      </c>
      <c r="C45" s="102" t="s">
        <v>115</v>
      </c>
      <c r="D45" s="102" t="s">
        <v>128</v>
      </c>
      <c r="E45" s="95"/>
      <c r="G45" s="109" t="s">
        <v>566</v>
      </c>
      <c r="H45" s="96" t="s">
        <v>558</v>
      </c>
      <c r="I45" s="96"/>
      <c r="J45" s="108"/>
      <c r="K45" s="99">
        <f t="shared" si="0"/>
        <v>1</v>
      </c>
      <c r="M45" s="66" t="str">
        <f>HYPERLINK("EM-1.1.1_RRF221_media/BOROS-01_SF-024.jpg")</f>
        <v>EM-1.1.1_RRF221_media/BOROS-01_SF-024.jpg</v>
      </c>
    </row>
    <row r="46" spans="1:13" ht="66.599999999999994" x14ac:dyDescent="0.3">
      <c r="A46" s="107" t="s">
        <v>129</v>
      </c>
      <c r="B46" s="101" t="s">
        <v>17</v>
      </c>
      <c r="C46" s="102" t="s">
        <v>97</v>
      </c>
      <c r="D46" s="102" t="s">
        <v>130</v>
      </c>
      <c r="E46" s="95"/>
      <c r="H46" s="96" t="s">
        <v>558</v>
      </c>
      <c r="I46" s="103"/>
      <c r="J46" s="104"/>
      <c r="K46" s="99">
        <f t="shared" si="0"/>
        <v>1</v>
      </c>
      <c r="M46" s="106" t="str">
        <f>HYPERLINK("EM-1.1.1_RRF221_media/BOROS-01_SF-028.jpg")</f>
        <v>EM-1.1.1_RRF221_media/BOROS-01_SF-028.jpg</v>
      </c>
    </row>
    <row r="47" spans="1:13" ht="66.599999999999994" x14ac:dyDescent="0.3">
      <c r="A47" s="107" t="s">
        <v>131</v>
      </c>
      <c r="B47" s="101" t="s">
        <v>17</v>
      </c>
      <c r="C47" s="102" t="s">
        <v>97</v>
      </c>
      <c r="D47" s="102" t="s">
        <v>130</v>
      </c>
      <c r="E47" s="95"/>
      <c r="H47" s="96" t="s">
        <v>558</v>
      </c>
      <c r="I47" s="103"/>
      <c r="J47" s="104"/>
      <c r="K47" s="99">
        <f t="shared" si="0"/>
        <v>1</v>
      </c>
      <c r="M47" s="106" t="str">
        <f>HYPERLINK("EM-1.1.1_RRF221_media/BOROS-01_SF-027.jpg")</f>
        <v>EM-1.1.1_RRF221_media/BOROS-01_SF-027.jpg</v>
      </c>
    </row>
    <row r="48" spans="1:13" ht="66.599999999999994" x14ac:dyDescent="0.3">
      <c r="A48" s="107" t="s">
        <v>132</v>
      </c>
      <c r="B48" s="101" t="s">
        <v>17</v>
      </c>
      <c r="C48" s="102" t="s">
        <v>97</v>
      </c>
      <c r="D48" s="102" t="s">
        <v>130</v>
      </c>
      <c r="E48" s="95"/>
      <c r="H48" s="96" t="s">
        <v>558</v>
      </c>
      <c r="I48" s="103"/>
      <c r="J48" s="104"/>
      <c r="K48" s="99">
        <f t="shared" si="0"/>
        <v>1</v>
      </c>
      <c r="M48" s="106" t="str">
        <f>HYPERLINK("EM-1.1.1_RRF221_media/BOROS-01_SF-026.jpg")</f>
        <v>EM-1.1.1_RRF221_media/BOROS-01_SF-026.jpg</v>
      </c>
    </row>
    <row r="49" spans="1:13" ht="66.599999999999994" x14ac:dyDescent="0.3">
      <c r="A49" s="107" t="s">
        <v>133</v>
      </c>
      <c r="B49" s="101" t="s">
        <v>17</v>
      </c>
      <c r="C49" s="102" t="s">
        <v>97</v>
      </c>
      <c r="D49" s="102" t="s">
        <v>130</v>
      </c>
      <c r="E49" s="95"/>
      <c r="H49" s="96" t="s">
        <v>558</v>
      </c>
      <c r="I49" s="103"/>
      <c r="J49" s="104"/>
      <c r="K49" s="99">
        <f t="shared" si="0"/>
        <v>1</v>
      </c>
      <c r="M49" s="106" t="str">
        <f>HYPERLINK("EM-1.1.1_RRF221_media/BOROS-01_SF-025.jpg")</f>
        <v>EM-1.1.1_RRF221_media/BOROS-01_SF-025.jpg</v>
      </c>
    </row>
    <row r="50" spans="1:13" ht="27" x14ac:dyDescent="0.3">
      <c r="A50" s="107" t="s">
        <v>134</v>
      </c>
      <c r="B50" s="101" t="s">
        <v>17</v>
      </c>
      <c r="C50" s="102" t="s">
        <v>73</v>
      </c>
      <c r="D50" s="102" t="s">
        <v>135</v>
      </c>
      <c r="E50" s="95"/>
      <c r="H50" s="96" t="s">
        <v>558</v>
      </c>
      <c r="I50" s="96"/>
      <c r="J50" s="108"/>
      <c r="K50" s="99">
        <f t="shared" si="0"/>
        <v>1</v>
      </c>
      <c r="M50" s="106" t="str">
        <f>HYPERLINK("EM-1.1.1_RRF221_media/BOROS-01_SF-029.jpg")</f>
        <v>EM-1.1.1_RRF221_media/BOROS-01_SF-029.jpg</v>
      </c>
    </row>
    <row r="51" spans="1:13" ht="27" x14ac:dyDescent="0.3">
      <c r="A51" s="107" t="s">
        <v>136</v>
      </c>
      <c r="B51" s="101" t="s">
        <v>13</v>
      </c>
      <c r="C51" s="102" t="s">
        <v>73</v>
      </c>
      <c r="D51" s="102" t="s">
        <v>135</v>
      </c>
      <c r="E51" s="95"/>
      <c r="H51" s="96" t="s">
        <v>558</v>
      </c>
      <c r="I51" s="103"/>
      <c r="J51" s="104"/>
      <c r="K51" s="99">
        <f t="shared" si="0"/>
        <v>3</v>
      </c>
      <c r="M51" s="106" t="str">
        <f>HYPERLINK("EM-1.1.1_RRF221_media/BOROS-01_2D-008.png")</f>
        <v>EM-1.1.1_RRF221_media/BOROS-01_2D-008.png</v>
      </c>
    </row>
    <row r="52" spans="1:13" ht="27" x14ac:dyDescent="0.3">
      <c r="A52" s="107" t="s">
        <v>137</v>
      </c>
      <c r="B52" s="101" t="s">
        <v>17</v>
      </c>
      <c r="C52" s="102" t="s">
        <v>73</v>
      </c>
      <c r="D52" s="102" t="s">
        <v>135</v>
      </c>
      <c r="E52" s="95"/>
      <c r="H52" s="96" t="s">
        <v>558</v>
      </c>
      <c r="I52" s="103"/>
      <c r="J52" s="104"/>
      <c r="K52" s="99">
        <f t="shared" si="0"/>
        <v>1</v>
      </c>
      <c r="M52" s="106" t="str">
        <f>HYPERLINK("EM-1.1.1_RRF221_media/BOROS-01_SF-030.jpg")</f>
        <v>EM-1.1.1_RRF221_media/BOROS-01_SF-030.jpg</v>
      </c>
    </row>
    <row r="53" spans="1:13" ht="27" x14ac:dyDescent="0.3">
      <c r="A53" s="107" t="s">
        <v>138</v>
      </c>
      <c r="B53" s="101" t="s">
        <v>17</v>
      </c>
      <c r="C53" s="102" t="s">
        <v>73</v>
      </c>
      <c r="D53" s="102" t="s">
        <v>135</v>
      </c>
      <c r="E53" s="95"/>
      <c r="G53" s="109" t="s">
        <v>559</v>
      </c>
      <c r="H53" s="96" t="s">
        <v>558</v>
      </c>
      <c r="I53" s="103"/>
      <c r="J53" s="104"/>
      <c r="K53" s="99">
        <f t="shared" si="0"/>
        <v>1</v>
      </c>
      <c r="M53" s="106" t="str">
        <f>HYPERLINK("EM-1.1.1_RRF221_media/BOROS-01_SF-031.jpg")</f>
        <v>EM-1.1.1_RRF221_media/BOROS-01_SF-031.jpg</v>
      </c>
    </row>
    <row r="54" spans="1:13" ht="27" x14ac:dyDescent="0.3">
      <c r="A54" s="107" t="s">
        <v>139</v>
      </c>
      <c r="B54" s="101" t="s">
        <v>11</v>
      </c>
      <c r="C54" s="102" t="s">
        <v>140</v>
      </c>
      <c r="D54" s="102" t="s">
        <v>74</v>
      </c>
      <c r="E54" s="95"/>
      <c r="H54" s="96" t="s">
        <v>558</v>
      </c>
      <c r="I54" s="103"/>
      <c r="J54" s="104"/>
      <c r="K54" s="99">
        <f t="shared" si="0"/>
        <v>25</v>
      </c>
      <c r="M54" s="106" t="str">
        <f>HYPERLINK("EM-1.1.1_RRF221_media/BOROS-01_2DA-005.png")</f>
        <v>EM-1.1.1_RRF221_media/BOROS-01_2DA-005.png</v>
      </c>
    </row>
    <row r="55" spans="1:13" ht="27" x14ac:dyDescent="0.3">
      <c r="A55" s="107" t="s">
        <v>141</v>
      </c>
      <c r="B55" s="101" t="s">
        <v>13</v>
      </c>
      <c r="C55" s="102" t="s">
        <v>140</v>
      </c>
      <c r="D55" s="102" t="s">
        <v>142</v>
      </c>
      <c r="E55" s="95"/>
      <c r="H55" s="96" t="s">
        <v>558</v>
      </c>
      <c r="I55" s="96"/>
      <c r="J55" s="108"/>
      <c r="K55" s="99">
        <f t="shared" si="0"/>
        <v>3</v>
      </c>
      <c r="M55" s="106" t="str">
        <f>HYPERLINK("EM-1.1.1_RRF221_media/BOROS-01_VID-001_borito.jpg")</f>
        <v>EM-1.1.1_RRF221_media/BOROS-01_VID-001_borito.jpg</v>
      </c>
    </row>
    <row r="56" spans="1:13" ht="27" x14ac:dyDescent="0.3">
      <c r="A56" s="107" t="s">
        <v>143</v>
      </c>
      <c r="B56" s="101" t="s">
        <v>33</v>
      </c>
      <c r="C56" s="102" t="s">
        <v>140</v>
      </c>
      <c r="D56" s="102" t="s">
        <v>142</v>
      </c>
      <c r="E56" s="95"/>
      <c r="H56" s="96" t="s">
        <v>558</v>
      </c>
      <c r="I56" s="103"/>
      <c r="J56" s="104">
        <v>111</v>
      </c>
      <c r="K56" s="99">
        <f t="shared" si="0"/>
        <v>24</v>
      </c>
      <c r="M56" s="106" t="str">
        <f>HYPERLINK("EM-1.1.1_RRF221_media/BOROS-01_VID-001.mp4")</f>
        <v>EM-1.1.1_RRF221_media/BOROS-01_VID-001.mp4</v>
      </c>
    </row>
    <row r="57" spans="1:13" ht="27" x14ac:dyDescent="0.3">
      <c r="A57" s="107" t="s">
        <v>144</v>
      </c>
      <c r="B57" s="101" t="s">
        <v>13</v>
      </c>
      <c r="C57" s="102" t="s">
        <v>140</v>
      </c>
      <c r="D57" s="102" t="s">
        <v>145</v>
      </c>
      <c r="E57" s="95"/>
      <c r="H57" s="96" t="s">
        <v>558</v>
      </c>
      <c r="I57" s="103"/>
      <c r="J57" s="104"/>
      <c r="K57" s="99">
        <f t="shared" si="0"/>
        <v>3</v>
      </c>
      <c r="M57" s="106" t="str">
        <f>HYPERLINK("EM-1.1.1_RRF221_media/BOROS-01_2D-011_02.png")</f>
        <v>EM-1.1.1_RRF221_media/BOROS-01_2D-011_02.png</v>
      </c>
    </row>
    <row r="58" spans="1:13" ht="27" x14ac:dyDescent="0.3">
      <c r="A58" s="107" t="s">
        <v>146</v>
      </c>
      <c r="B58" s="101" t="s">
        <v>13</v>
      </c>
      <c r="C58" s="102" t="s">
        <v>140</v>
      </c>
      <c r="D58" s="102" t="s">
        <v>145</v>
      </c>
      <c r="E58" s="95"/>
      <c r="H58" s="96" t="s">
        <v>558</v>
      </c>
      <c r="I58" s="103"/>
      <c r="J58" s="104"/>
      <c r="K58" s="99">
        <f t="shared" si="0"/>
        <v>3</v>
      </c>
      <c r="M58" s="106" t="str">
        <f>HYPERLINK("EM-1.1.1_RRF221_media/BOROS-01_2D-010_02.png")</f>
        <v>EM-1.1.1_RRF221_media/BOROS-01_2D-010_02.png</v>
      </c>
    </row>
    <row r="59" spans="1:13" ht="27" x14ac:dyDescent="0.3">
      <c r="A59" s="107" t="s">
        <v>147</v>
      </c>
      <c r="B59" s="101" t="s">
        <v>13</v>
      </c>
      <c r="C59" s="102" t="s">
        <v>140</v>
      </c>
      <c r="D59" s="102" t="s">
        <v>145</v>
      </c>
      <c r="E59" s="95"/>
      <c r="H59" s="96" t="s">
        <v>558</v>
      </c>
      <c r="I59" s="103"/>
      <c r="J59" s="104"/>
      <c r="K59" s="99">
        <f t="shared" si="0"/>
        <v>3</v>
      </c>
      <c r="M59" s="106" t="str">
        <f>HYPERLINK("EM-1.1.1_RRF221_media/BOROS-01_2D-013_01.png")</f>
        <v>EM-1.1.1_RRF221_media/BOROS-01_2D-013_01.png</v>
      </c>
    </row>
    <row r="60" spans="1:13" ht="27" x14ac:dyDescent="0.3">
      <c r="A60" s="107" t="s">
        <v>148</v>
      </c>
      <c r="B60" s="101" t="s">
        <v>13</v>
      </c>
      <c r="C60" s="102" t="s">
        <v>140</v>
      </c>
      <c r="D60" s="102" t="s">
        <v>145</v>
      </c>
      <c r="E60" s="95"/>
      <c r="H60" s="96" t="s">
        <v>558</v>
      </c>
      <c r="I60" s="96"/>
      <c r="J60" s="108"/>
      <c r="K60" s="99">
        <f t="shared" si="0"/>
        <v>3</v>
      </c>
      <c r="M60" s="106" t="str">
        <f>HYPERLINK("EM-1.1.1_RRF221_media/BOROS-01_2D-013_02.png")</f>
        <v>EM-1.1.1_RRF221_media/BOROS-01_2D-013_02.png</v>
      </c>
    </row>
    <row r="61" spans="1:13" ht="27" x14ac:dyDescent="0.3">
      <c r="A61" s="107" t="s">
        <v>149</v>
      </c>
      <c r="B61" s="101" t="s">
        <v>13</v>
      </c>
      <c r="C61" s="102" t="s">
        <v>140</v>
      </c>
      <c r="D61" s="102" t="s">
        <v>145</v>
      </c>
      <c r="E61" s="95"/>
      <c r="H61" s="96" t="s">
        <v>558</v>
      </c>
      <c r="I61" s="103"/>
      <c r="J61" s="104"/>
      <c r="K61" s="99">
        <f t="shared" si="0"/>
        <v>3</v>
      </c>
      <c r="M61" s="106" t="str">
        <f>HYPERLINK("EM-1.1.1_RRF221_media/BOROS-01_2D-009_02.png")</f>
        <v>EM-1.1.1_RRF221_media/BOROS-01_2D-009_02.png</v>
      </c>
    </row>
    <row r="62" spans="1:13" ht="27" x14ac:dyDescent="0.3">
      <c r="A62" s="107" t="s">
        <v>150</v>
      </c>
      <c r="B62" s="101" t="s">
        <v>13</v>
      </c>
      <c r="C62" s="102" t="s">
        <v>140</v>
      </c>
      <c r="D62" s="102" t="s">
        <v>145</v>
      </c>
      <c r="E62" s="95"/>
      <c r="H62" s="96" t="s">
        <v>558</v>
      </c>
      <c r="I62" s="103"/>
      <c r="J62" s="104"/>
      <c r="K62" s="99">
        <f t="shared" si="0"/>
        <v>3</v>
      </c>
      <c r="M62" s="66" t="str">
        <f>HYPERLINK("EM-1.1.1_RRF221_media/BOROS-01_2D-012_02.png")</f>
        <v>EM-1.1.1_RRF221_media/BOROS-01_2D-012_02.png</v>
      </c>
    </row>
    <row r="63" spans="1:13" ht="27" x14ac:dyDescent="0.3">
      <c r="A63" s="107" t="s">
        <v>151</v>
      </c>
      <c r="B63" s="101" t="s">
        <v>13</v>
      </c>
      <c r="C63" s="102" t="s">
        <v>140</v>
      </c>
      <c r="D63" s="102" t="s">
        <v>145</v>
      </c>
      <c r="E63" s="95"/>
      <c r="H63" s="96" t="s">
        <v>558</v>
      </c>
      <c r="I63" s="103"/>
      <c r="J63" s="104"/>
      <c r="K63" s="99">
        <f t="shared" si="0"/>
        <v>3</v>
      </c>
      <c r="M63" s="106" t="str">
        <f>HYPERLINK("EM-1.1.1_RRF221_media/BOROS-01_2D-009_01.png")</f>
        <v>EM-1.1.1_RRF221_media/BOROS-01_2D-009_01.png</v>
      </c>
    </row>
    <row r="64" spans="1:13" ht="27" x14ac:dyDescent="0.3">
      <c r="A64" s="107" t="s">
        <v>152</v>
      </c>
      <c r="B64" s="101" t="s">
        <v>13</v>
      </c>
      <c r="C64" s="102" t="s">
        <v>140</v>
      </c>
      <c r="D64" s="102" t="s">
        <v>145</v>
      </c>
      <c r="E64" s="95"/>
      <c r="H64" s="96" t="s">
        <v>558</v>
      </c>
      <c r="I64" s="103"/>
      <c r="J64" s="104"/>
      <c r="K64" s="99">
        <f t="shared" si="0"/>
        <v>3</v>
      </c>
      <c r="M64" s="106" t="str">
        <f>HYPERLINK("EM-1.1.1_RRF221_media/BOROS-01_2D-012_01.png")</f>
        <v>EM-1.1.1_RRF221_media/BOROS-01_2D-012_01.png</v>
      </c>
    </row>
    <row r="65" spans="1:13" ht="27" x14ac:dyDescent="0.3">
      <c r="A65" s="100" t="s">
        <v>153</v>
      </c>
      <c r="B65" s="101" t="s">
        <v>13</v>
      </c>
      <c r="C65" s="102" t="s">
        <v>140</v>
      </c>
      <c r="D65" s="102" t="s">
        <v>145</v>
      </c>
      <c r="E65" s="95"/>
      <c r="H65" s="96" t="s">
        <v>558</v>
      </c>
      <c r="I65" s="103"/>
      <c r="J65" s="104"/>
      <c r="K65" s="99">
        <f t="shared" si="0"/>
        <v>3</v>
      </c>
      <c r="M65" s="106" t="str">
        <f>HYPERLINK("EM-1.1.1_RRF221_media/BOROS-01_2D-010_01.png")</f>
        <v>EM-1.1.1_RRF221_media/BOROS-01_2D-010_01.png</v>
      </c>
    </row>
    <row r="66" spans="1:13" ht="27" x14ac:dyDescent="0.3">
      <c r="A66" s="100" t="s">
        <v>154</v>
      </c>
      <c r="B66" s="101" t="s">
        <v>13</v>
      </c>
      <c r="C66" s="102" t="s">
        <v>140</v>
      </c>
      <c r="D66" s="102" t="s">
        <v>145</v>
      </c>
      <c r="E66" s="95"/>
      <c r="H66" s="96" t="s">
        <v>558</v>
      </c>
      <c r="I66" s="103"/>
      <c r="J66" s="104"/>
      <c r="K66" s="99">
        <f t="shared" si="0"/>
        <v>3</v>
      </c>
      <c r="M66" s="106" t="str">
        <f>HYPERLINK("EM-1.1.1_RRF221_media/BOROS-01_2D-011_01.png")</f>
        <v>EM-1.1.1_RRF221_media/BOROS-01_2D-011_01.png</v>
      </c>
    </row>
    <row r="67" spans="1:13" ht="27" x14ac:dyDescent="0.3">
      <c r="A67" s="100" t="s">
        <v>155</v>
      </c>
      <c r="B67" s="101" t="s">
        <v>17</v>
      </c>
      <c r="C67" s="102" t="s">
        <v>140</v>
      </c>
      <c r="D67" s="102" t="s">
        <v>156</v>
      </c>
      <c r="E67" s="95"/>
      <c r="H67" s="96" t="s">
        <v>558</v>
      </c>
      <c r="I67" s="103"/>
      <c r="J67" s="104"/>
      <c r="K67" s="99">
        <f t="shared" si="0"/>
        <v>1</v>
      </c>
      <c r="M67" s="106" t="str">
        <f>HYPERLINK("EM-1.1.1_RRF221_media/BOROS-01_SF-032.jpg")</f>
        <v>EM-1.1.1_RRF221_media/BOROS-01_SF-032.jpg</v>
      </c>
    </row>
    <row r="68" spans="1:13" ht="40.200000000000003" x14ac:dyDescent="0.3">
      <c r="A68" s="100" t="s">
        <v>157</v>
      </c>
      <c r="B68" s="101" t="s">
        <v>17</v>
      </c>
      <c r="C68" s="102" t="s">
        <v>140</v>
      </c>
      <c r="D68" s="102" t="s">
        <v>158</v>
      </c>
      <c r="E68" s="95"/>
      <c r="H68" s="96" t="s">
        <v>558</v>
      </c>
      <c r="I68" s="103"/>
      <c r="J68" s="104"/>
      <c r="K68" s="99">
        <f t="shared" si="0"/>
        <v>1</v>
      </c>
      <c r="M68" s="106" t="str">
        <f>HYPERLINK("EM-1.1.1_RRF221_media/BOROS-01_SF-033.jpg")</f>
        <v>EM-1.1.1_RRF221_media/BOROS-01_SF-033.jpg</v>
      </c>
    </row>
    <row r="69" spans="1:13" ht="27" x14ac:dyDescent="0.3">
      <c r="A69" s="107" t="s">
        <v>159</v>
      </c>
      <c r="B69" s="101" t="s">
        <v>33</v>
      </c>
      <c r="C69" s="102" t="s">
        <v>140</v>
      </c>
      <c r="D69" s="102" t="s">
        <v>160</v>
      </c>
      <c r="E69" s="95"/>
      <c r="H69" s="96" t="s">
        <v>558</v>
      </c>
      <c r="I69" s="96"/>
      <c r="J69" s="108">
        <v>6</v>
      </c>
      <c r="K69" s="99">
        <f t="shared" ref="K69:K132" si="1">IF(H69 ="x",IF(B69="Fotó", 1,IF(B69 = "2D grafika", 3, IF(B69 = "3D grafika", 8, IF(B69 ="2D animáció", IF(J69&lt;=10, 25, IF(J69&lt;=20, 28, IF(J69&lt;=30, 31, IF(J69&lt;=40, 34, IF(J69&lt;=50, 37, 37 + ROUNDUP((J69-50)/10, 0)*3))))),IF(B69="3D animáció", IF(J69&lt;=10, 40, IF(J69&lt;=20, 48, IF(J69&lt;=30, 56, IF(J69&lt;=40, 64, IF(J69&lt;=50, 72, 72 + ROUNDUP((J69-50)/10, 0)*8))))), IF(B69="Videó egyszereplős", ROUNDUP(J69/10,0)*2, IF(B69 ="Videó egyszereplős narrációval", ROUNDUP(J69/10,0)*3, IF(B69="Videó többszereplős", ROUNDUP(J69/10,0)*2, IF(B69 ="Videó többszereplős narrációval", ROUNDUP(J69/10,0)*4, IF(B69 ="Hangzóanyag", ROUNDUP(J69/10,0)*1, IF(B69="Interaktív animáció (szimuláció)",13,0))))))))))),0)</f>
        <v>2</v>
      </c>
      <c r="M69" s="106" t="str">
        <f>HYPERLINK("EM-1.1.1_RRF221_media/BOROS-01_VID-002.mp4")</f>
        <v>EM-1.1.1_RRF221_media/BOROS-01_VID-002.mp4</v>
      </c>
    </row>
    <row r="70" spans="1:13" ht="27" x14ac:dyDescent="0.3">
      <c r="A70" s="107" t="s">
        <v>161</v>
      </c>
      <c r="B70" s="101" t="s">
        <v>13</v>
      </c>
      <c r="C70" s="102" t="s">
        <v>140</v>
      </c>
      <c r="D70" s="102" t="s">
        <v>160</v>
      </c>
      <c r="E70" s="95"/>
      <c r="H70" s="96" t="s">
        <v>558</v>
      </c>
      <c r="I70" s="103"/>
      <c r="J70" s="104"/>
      <c r="K70" s="99">
        <f t="shared" si="1"/>
        <v>3</v>
      </c>
      <c r="M70" s="106" t="str">
        <f>HYPERLINK("EM-1.1.1_RRF221_media/BOROS-01_VID-002_borito.jpg")</f>
        <v>EM-1.1.1_RRF221_media/BOROS-01_VID-002_borito.jpg</v>
      </c>
    </row>
    <row r="71" spans="1:13" ht="27" x14ac:dyDescent="0.3">
      <c r="A71" s="107" t="s">
        <v>162</v>
      </c>
      <c r="B71" s="101" t="s">
        <v>13</v>
      </c>
      <c r="C71" s="102" t="s">
        <v>140</v>
      </c>
      <c r="D71" s="102" t="s">
        <v>163</v>
      </c>
      <c r="E71" s="95"/>
      <c r="H71" s="96" t="s">
        <v>558</v>
      </c>
      <c r="I71" s="103"/>
      <c r="J71" s="104"/>
      <c r="K71" s="99">
        <f t="shared" si="1"/>
        <v>3</v>
      </c>
      <c r="M71" s="106" t="str">
        <f>HYPERLINK("EM-1.1.1_RRF221_media/BOROS-01_2D-014_04.png")</f>
        <v>EM-1.1.1_RRF221_media/BOROS-01_2D-014_04.png</v>
      </c>
    </row>
    <row r="72" spans="1:13" ht="27" x14ac:dyDescent="0.3">
      <c r="A72" s="107" t="s">
        <v>164</v>
      </c>
      <c r="B72" s="101" t="s">
        <v>13</v>
      </c>
      <c r="C72" s="102" t="s">
        <v>140</v>
      </c>
      <c r="D72" s="102" t="s">
        <v>163</v>
      </c>
      <c r="E72" s="95"/>
      <c r="H72" s="96" t="s">
        <v>558</v>
      </c>
      <c r="I72" s="103"/>
      <c r="J72" s="104"/>
      <c r="K72" s="99">
        <f t="shared" si="1"/>
        <v>3</v>
      </c>
      <c r="M72" s="106" t="str">
        <f>HYPERLINK("EM-1.1.1_RRF221_media/BOROS-01_2D-014_03.png")</f>
        <v>EM-1.1.1_RRF221_media/BOROS-01_2D-014_03.png</v>
      </c>
    </row>
    <row r="73" spans="1:13" ht="27" x14ac:dyDescent="0.3">
      <c r="A73" s="107" t="s">
        <v>165</v>
      </c>
      <c r="B73" s="101" t="s">
        <v>13</v>
      </c>
      <c r="C73" s="102" t="s">
        <v>140</v>
      </c>
      <c r="D73" s="102" t="s">
        <v>163</v>
      </c>
      <c r="E73" s="95"/>
      <c r="H73" s="96" t="s">
        <v>558</v>
      </c>
      <c r="I73" s="103"/>
      <c r="J73" s="104"/>
      <c r="K73" s="99">
        <f t="shared" si="1"/>
        <v>3</v>
      </c>
      <c r="M73" s="106" t="str">
        <f>HYPERLINK("EM-1.1.1_RRF221_media/BOROS-01_2D-014_02.png")</f>
        <v>EM-1.1.1_RRF221_media/BOROS-01_2D-014_02.png</v>
      </c>
    </row>
    <row r="74" spans="1:13" ht="27" x14ac:dyDescent="0.3">
      <c r="A74" s="107" t="s">
        <v>166</v>
      </c>
      <c r="B74" s="101" t="s">
        <v>13</v>
      </c>
      <c r="C74" s="102" t="s">
        <v>140</v>
      </c>
      <c r="D74" s="102" t="s">
        <v>163</v>
      </c>
      <c r="E74" s="95"/>
      <c r="H74" s="96" t="s">
        <v>558</v>
      </c>
      <c r="I74" s="96"/>
      <c r="J74" s="108"/>
      <c r="K74" s="99">
        <f t="shared" si="1"/>
        <v>3</v>
      </c>
      <c r="M74" s="106" t="str">
        <f>HYPERLINK("EM-1.1.1_RRF221_media/BOROS-01_2D-014_01.png")</f>
        <v>EM-1.1.1_RRF221_media/BOROS-01_2D-014_01.png</v>
      </c>
    </row>
    <row r="75" spans="1:13" ht="40.200000000000003" x14ac:dyDescent="0.3">
      <c r="A75" s="107" t="s">
        <v>167</v>
      </c>
      <c r="B75" s="101" t="s">
        <v>11</v>
      </c>
      <c r="C75" s="102" t="s">
        <v>168</v>
      </c>
      <c r="D75" s="102" t="s">
        <v>74</v>
      </c>
      <c r="E75" s="95"/>
      <c r="H75" s="96" t="s">
        <v>558</v>
      </c>
      <c r="I75" s="103"/>
      <c r="J75" s="104"/>
      <c r="K75" s="99">
        <f t="shared" si="1"/>
        <v>25</v>
      </c>
      <c r="M75" s="106" t="str">
        <f>HYPERLINK("EM-1.1.1_RRF221_media/BOROS-01_2DA-006.png")</f>
        <v>EM-1.1.1_RRF221_media/BOROS-01_2DA-006.png</v>
      </c>
    </row>
    <row r="76" spans="1:13" ht="40.200000000000003" x14ac:dyDescent="0.3">
      <c r="A76" s="107" t="s">
        <v>169</v>
      </c>
      <c r="B76" s="101" t="s">
        <v>17</v>
      </c>
      <c r="C76" s="102" t="s">
        <v>168</v>
      </c>
      <c r="D76" s="102" t="s">
        <v>170</v>
      </c>
      <c r="E76" s="95"/>
      <c r="H76" s="96" t="s">
        <v>558</v>
      </c>
      <c r="I76" s="103"/>
      <c r="J76" s="104"/>
      <c r="K76" s="99">
        <f t="shared" si="1"/>
        <v>1</v>
      </c>
      <c r="M76" s="106" t="str">
        <f>HYPERLINK("EM-1.1.1_RRF221_media/BOROS-01_F-001.jpg")</f>
        <v>EM-1.1.1_RRF221_media/BOROS-01_F-001.jpg</v>
      </c>
    </row>
    <row r="77" spans="1:13" ht="40.200000000000003" x14ac:dyDescent="0.3">
      <c r="A77" s="107" t="s">
        <v>171</v>
      </c>
      <c r="B77" s="101" t="s">
        <v>17</v>
      </c>
      <c r="C77" s="102" t="s">
        <v>168</v>
      </c>
      <c r="D77" s="102" t="s">
        <v>170</v>
      </c>
      <c r="E77" s="95"/>
      <c r="H77" s="96" t="s">
        <v>558</v>
      </c>
      <c r="I77" s="103"/>
      <c r="J77" s="104"/>
      <c r="K77" s="99">
        <f t="shared" si="1"/>
        <v>1</v>
      </c>
      <c r="M77" s="66" t="str">
        <f>HYPERLINK("EM-1.1.1_RRF221_media/BOROS-01_SF-034.jpg")</f>
        <v>EM-1.1.1_RRF221_media/BOROS-01_SF-034.jpg</v>
      </c>
    </row>
    <row r="78" spans="1:13" ht="40.200000000000003" x14ac:dyDescent="0.3">
      <c r="A78" s="107" t="s">
        <v>172</v>
      </c>
      <c r="B78" s="101" t="s">
        <v>17</v>
      </c>
      <c r="C78" s="102" t="s">
        <v>168</v>
      </c>
      <c r="D78" s="102" t="s">
        <v>170</v>
      </c>
      <c r="E78" s="95"/>
      <c r="H78" s="96" t="s">
        <v>558</v>
      </c>
      <c r="I78" s="103"/>
      <c r="J78" s="104"/>
      <c r="K78" s="99">
        <f t="shared" si="1"/>
        <v>1</v>
      </c>
      <c r="M78" s="106" t="str">
        <f>HYPERLINK("EM-1.1.1_RRF221_media/BOROS-01_F-003.jpg")</f>
        <v>EM-1.1.1_RRF221_media/BOROS-01_F-003.jpg</v>
      </c>
    </row>
    <row r="79" spans="1:13" ht="40.200000000000003" x14ac:dyDescent="0.3">
      <c r="A79" s="107" t="s">
        <v>173</v>
      </c>
      <c r="B79" s="101" t="s">
        <v>17</v>
      </c>
      <c r="C79" s="102" t="s">
        <v>168</v>
      </c>
      <c r="D79" s="102" t="s">
        <v>170</v>
      </c>
      <c r="E79" s="95"/>
      <c r="H79" s="96" t="s">
        <v>558</v>
      </c>
      <c r="I79" s="96"/>
      <c r="J79" s="108"/>
      <c r="K79" s="99">
        <f t="shared" si="1"/>
        <v>1</v>
      </c>
      <c r="M79" s="106" t="str">
        <f>HYPERLINK("EM-1.1.1_RRF221_media/BOROS-01_SF-036.jpg")</f>
        <v>EM-1.1.1_RRF221_media/BOROS-01_SF-036.jpg</v>
      </c>
    </row>
    <row r="80" spans="1:13" ht="40.200000000000003" x14ac:dyDescent="0.3">
      <c r="A80" s="107" t="s">
        <v>174</v>
      </c>
      <c r="B80" s="101" t="s">
        <v>17</v>
      </c>
      <c r="C80" s="102" t="s">
        <v>168</v>
      </c>
      <c r="D80" s="102" t="s">
        <v>170</v>
      </c>
      <c r="E80" s="95"/>
      <c r="H80" s="96" t="s">
        <v>558</v>
      </c>
      <c r="I80" s="103"/>
      <c r="J80" s="104"/>
      <c r="K80" s="99">
        <f t="shared" si="1"/>
        <v>1</v>
      </c>
      <c r="M80" s="66" t="str">
        <f>HYPERLINK("EM-1.1.1_RRF221_media/BOROS-01_F-005.jpg")</f>
        <v>EM-1.1.1_RRF221_media/BOROS-01_F-005.jpg</v>
      </c>
    </row>
    <row r="81" spans="1:13" ht="40.200000000000003" x14ac:dyDescent="0.3">
      <c r="A81" s="107" t="s">
        <v>175</v>
      </c>
      <c r="B81" s="101" t="s">
        <v>17</v>
      </c>
      <c r="C81" s="102" t="s">
        <v>168</v>
      </c>
      <c r="D81" s="102" t="s">
        <v>170</v>
      </c>
      <c r="E81" s="95"/>
      <c r="H81" s="96" t="s">
        <v>558</v>
      </c>
      <c r="I81" s="103"/>
      <c r="J81" s="104"/>
      <c r="K81" s="99">
        <f t="shared" si="1"/>
        <v>1</v>
      </c>
      <c r="M81" s="106" t="str">
        <f>HYPERLINK("EM-1.1.1_RRF221_media/BOROS-01_F-002.jpg")</f>
        <v>EM-1.1.1_RRF221_media/BOROS-01_F-002.jpg</v>
      </c>
    </row>
    <row r="82" spans="1:13" ht="40.200000000000003" x14ac:dyDescent="0.3">
      <c r="A82" s="107" t="s">
        <v>176</v>
      </c>
      <c r="B82" s="101" t="s">
        <v>17</v>
      </c>
      <c r="C82" s="102" t="s">
        <v>168</v>
      </c>
      <c r="D82" s="102" t="s">
        <v>170</v>
      </c>
      <c r="E82" s="95"/>
      <c r="H82" s="96" t="s">
        <v>558</v>
      </c>
      <c r="I82" s="103"/>
      <c r="J82" s="104"/>
      <c r="K82" s="99">
        <f t="shared" si="1"/>
        <v>1</v>
      </c>
      <c r="M82" s="106" t="str">
        <f>HYPERLINK("EM-1.1.1_RRF221_media/BOROS-01_F-006.jpg")</f>
        <v>EM-1.1.1_RRF221_media/BOROS-01_F-006.jpg</v>
      </c>
    </row>
    <row r="83" spans="1:13" ht="40.200000000000003" x14ac:dyDescent="0.3">
      <c r="A83" s="107" t="s">
        <v>177</v>
      </c>
      <c r="B83" s="101" t="s">
        <v>17</v>
      </c>
      <c r="C83" s="102" t="s">
        <v>168</v>
      </c>
      <c r="D83" s="102" t="s">
        <v>170</v>
      </c>
      <c r="E83" s="95"/>
      <c r="H83" s="96" t="s">
        <v>558</v>
      </c>
      <c r="I83" s="103"/>
      <c r="J83" s="104"/>
      <c r="K83" s="99">
        <f t="shared" si="1"/>
        <v>1</v>
      </c>
      <c r="M83" s="106" t="str">
        <f>HYPERLINK("EM-1.1.1_RRF221_media/BOROS-01_SF-035.jpg")</f>
        <v>EM-1.1.1_RRF221_media/BOROS-01_SF-035.jpg</v>
      </c>
    </row>
    <row r="84" spans="1:13" ht="40.200000000000003" x14ac:dyDescent="0.3">
      <c r="A84" s="107" t="s">
        <v>178</v>
      </c>
      <c r="B84" s="101" t="s">
        <v>17</v>
      </c>
      <c r="C84" s="102" t="s">
        <v>168</v>
      </c>
      <c r="D84" s="102" t="s">
        <v>170</v>
      </c>
      <c r="E84" s="95"/>
      <c r="H84" s="96" t="s">
        <v>558</v>
      </c>
      <c r="I84" s="96"/>
      <c r="J84" s="108"/>
      <c r="K84" s="99">
        <f t="shared" si="1"/>
        <v>1</v>
      </c>
      <c r="M84" s="106" t="str">
        <f>HYPERLINK("EM-1.1.1_RRF221_media/BOROS-01_SF-037.jpg")</f>
        <v>EM-1.1.1_RRF221_media/BOROS-01_SF-037.jpg</v>
      </c>
    </row>
    <row r="85" spans="1:13" ht="40.200000000000003" x14ac:dyDescent="0.3">
      <c r="A85" s="107" t="s">
        <v>179</v>
      </c>
      <c r="B85" s="101" t="s">
        <v>17</v>
      </c>
      <c r="C85" s="102" t="s">
        <v>168</v>
      </c>
      <c r="D85" s="102" t="s">
        <v>170</v>
      </c>
      <c r="E85" s="95"/>
      <c r="H85" s="96" t="s">
        <v>558</v>
      </c>
      <c r="I85" s="103"/>
      <c r="J85" s="104"/>
      <c r="K85" s="99">
        <f t="shared" si="1"/>
        <v>1</v>
      </c>
      <c r="M85" s="106" t="str">
        <f>HYPERLINK("EM-1.1.1_RRF221_media/BOROS-01_F-004.jpg")</f>
        <v>EM-1.1.1_RRF221_media/BOROS-01_F-004.jpg</v>
      </c>
    </row>
    <row r="86" spans="1:13" ht="40.200000000000003" x14ac:dyDescent="0.3">
      <c r="A86" s="107" t="s">
        <v>180</v>
      </c>
      <c r="B86" s="101" t="s">
        <v>17</v>
      </c>
      <c r="C86" s="102" t="s">
        <v>168</v>
      </c>
      <c r="D86" s="102" t="s">
        <v>181</v>
      </c>
      <c r="E86" s="95"/>
      <c r="H86" s="96" t="s">
        <v>558</v>
      </c>
      <c r="I86" s="103"/>
      <c r="J86" s="104"/>
      <c r="K86" s="99">
        <f t="shared" si="1"/>
        <v>1</v>
      </c>
      <c r="M86" s="106" t="str">
        <f>HYPERLINK("EM-1.1.1_RRF221_media/BOROS-01_SF-117.jpg")</f>
        <v>EM-1.1.1_RRF221_media/BOROS-01_SF-117.jpg</v>
      </c>
    </row>
    <row r="87" spans="1:13" ht="40.200000000000003" x14ac:dyDescent="0.3">
      <c r="A87" s="107" t="s">
        <v>182</v>
      </c>
      <c r="B87" s="101" t="s">
        <v>17</v>
      </c>
      <c r="C87" s="102" t="s">
        <v>168</v>
      </c>
      <c r="D87" s="102" t="s">
        <v>183</v>
      </c>
      <c r="E87" s="95"/>
      <c r="H87" s="96" t="s">
        <v>558</v>
      </c>
      <c r="I87" s="103"/>
      <c r="J87" s="104"/>
      <c r="K87" s="99">
        <f t="shared" si="1"/>
        <v>1</v>
      </c>
      <c r="M87" s="66" t="str">
        <f>HYPERLINK("EM-1.1.1_RRF221_media/BOROS-01_F-008.jpg")</f>
        <v>EM-1.1.1_RRF221_media/BOROS-01_F-008.jpg</v>
      </c>
    </row>
    <row r="88" spans="1:13" ht="40.200000000000003" x14ac:dyDescent="0.3">
      <c r="A88" s="107" t="s">
        <v>184</v>
      </c>
      <c r="B88" s="101" t="s">
        <v>17</v>
      </c>
      <c r="C88" s="102" t="s">
        <v>168</v>
      </c>
      <c r="D88" s="102" t="s">
        <v>183</v>
      </c>
      <c r="E88" s="95"/>
      <c r="H88" s="96" t="s">
        <v>558</v>
      </c>
      <c r="I88" s="103"/>
      <c r="J88" s="104"/>
      <c r="K88" s="99">
        <f t="shared" si="1"/>
        <v>1</v>
      </c>
      <c r="M88" s="106" t="str">
        <f>HYPERLINK("EM-1.1.1_RRF221_media/BOROS-01_SF-039.jpg")</f>
        <v>EM-1.1.1_RRF221_media/BOROS-01_SF-039.jpg</v>
      </c>
    </row>
    <row r="89" spans="1:13" ht="40.200000000000003" x14ac:dyDescent="0.3">
      <c r="A89" s="107" t="s">
        <v>185</v>
      </c>
      <c r="B89" s="101" t="s">
        <v>17</v>
      </c>
      <c r="C89" s="102" t="s">
        <v>168</v>
      </c>
      <c r="D89" s="102" t="s">
        <v>183</v>
      </c>
      <c r="E89" s="95"/>
      <c r="H89" s="96" t="s">
        <v>558</v>
      </c>
      <c r="I89" s="96"/>
      <c r="J89" s="108"/>
      <c r="K89" s="99">
        <f t="shared" si="1"/>
        <v>1</v>
      </c>
      <c r="M89" s="106" t="str">
        <f>HYPERLINK("EM-1.1.1_RRF221_media/BOROS-01_F-007.jpg")</f>
        <v>EM-1.1.1_RRF221_media/BOROS-01_F-007.jpg</v>
      </c>
    </row>
    <row r="90" spans="1:13" ht="40.200000000000003" x14ac:dyDescent="0.3">
      <c r="A90" s="107" t="s">
        <v>186</v>
      </c>
      <c r="B90" s="101" t="s">
        <v>13</v>
      </c>
      <c r="C90" s="102" t="s">
        <v>168</v>
      </c>
      <c r="D90" s="102" t="s">
        <v>187</v>
      </c>
      <c r="E90" s="95"/>
      <c r="H90" s="96" t="s">
        <v>558</v>
      </c>
      <c r="I90" s="103"/>
      <c r="J90" s="104"/>
      <c r="K90" s="99">
        <f t="shared" si="1"/>
        <v>3</v>
      </c>
      <c r="M90" s="106" t="str">
        <f>HYPERLINK("EM-1.1.1_RRF221_media/BOROS-01_2D-017_01.png")</f>
        <v>EM-1.1.1_RRF221_media/BOROS-01_2D-017_01.png</v>
      </c>
    </row>
    <row r="91" spans="1:13" ht="40.200000000000003" x14ac:dyDescent="0.3">
      <c r="A91" s="107" t="s">
        <v>188</v>
      </c>
      <c r="B91" s="101" t="s">
        <v>13</v>
      </c>
      <c r="C91" s="102" t="s">
        <v>168</v>
      </c>
      <c r="D91" s="102" t="s">
        <v>187</v>
      </c>
      <c r="E91" s="95"/>
      <c r="H91" s="96" t="s">
        <v>558</v>
      </c>
      <c r="I91" s="103"/>
      <c r="J91" s="104"/>
      <c r="K91" s="99">
        <f t="shared" si="1"/>
        <v>3</v>
      </c>
      <c r="M91" s="106" t="str">
        <f>HYPERLINK("EM-1.1.1_RRF221_media/BOROS-01_2D-018_02.png")</f>
        <v>EM-1.1.1_RRF221_media/BOROS-01_2D-018_02.png</v>
      </c>
    </row>
    <row r="92" spans="1:13" ht="40.200000000000003" x14ac:dyDescent="0.3">
      <c r="A92" s="107" t="s">
        <v>189</v>
      </c>
      <c r="B92" s="101" t="s">
        <v>13</v>
      </c>
      <c r="C92" s="102" t="s">
        <v>168</v>
      </c>
      <c r="D92" s="102" t="s">
        <v>187</v>
      </c>
      <c r="E92" s="95"/>
      <c r="H92" s="96" t="s">
        <v>558</v>
      </c>
      <c r="I92" s="103"/>
      <c r="J92" s="104"/>
      <c r="K92" s="99">
        <f t="shared" si="1"/>
        <v>3</v>
      </c>
      <c r="M92" s="66" t="str">
        <f>HYPERLINK("EM-1.1.1_RRF221_media/BOROS-01_2D-015_02.png")</f>
        <v>EM-1.1.1_RRF221_media/BOROS-01_2D-015_02.png</v>
      </c>
    </row>
    <row r="93" spans="1:13" ht="40.200000000000003" x14ac:dyDescent="0.3">
      <c r="A93" s="107" t="s">
        <v>190</v>
      </c>
      <c r="B93" s="101" t="s">
        <v>13</v>
      </c>
      <c r="C93" s="102" t="s">
        <v>168</v>
      </c>
      <c r="D93" s="102" t="s">
        <v>187</v>
      </c>
      <c r="E93" s="95"/>
      <c r="H93" s="96" t="s">
        <v>558</v>
      </c>
      <c r="I93" s="103"/>
      <c r="J93" s="104"/>
      <c r="K93" s="99">
        <f t="shared" si="1"/>
        <v>3</v>
      </c>
      <c r="M93" s="106" t="str">
        <f>HYPERLINK("EM-1.1.1_RRF221_media/BOROS-01_2D-018_01.png")</f>
        <v>EM-1.1.1_RRF221_media/BOROS-01_2D-018_01.png</v>
      </c>
    </row>
    <row r="94" spans="1:13" ht="40.200000000000003" x14ac:dyDescent="0.3">
      <c r="A94" s="107" t="s">
        <v>191</v>
      </c>
      <c r="B94" s="101" t="s">
        <v>13</v>
      </c>
      <c r="C94" s="102" t="s">
        <v>168</v>
      </c>
      <c r="D94" s="102" t="s">
        <v>187</v>
      </c>
      <c r="E94" s="95"/>
      <c r="H94" s="96" t="s">
        <v>558</v>
      </c>
      <c r="I94" s="96"/>
      <c r="J94" s="108"/>
      <c r="K94" s="99">
        <f t="shared" si="1"/>
        <v>3</v>
      </c>
      <c r="M94" s="106" t="str">
        <f>HYPERLINK("EM-1.1.1_RRF221_media/BOROS-01_2D-015_01.png")</f>
        <v>EM-1.1.1_RRF221_media/BOROS-01_2D-015_01.png</v>
      </c>
    </row>
    <row r="95" spans="1:13" ht="40.200000000000003" x14ac:dyDescent="0.3">
      <c r="A95" s="107" t="s">
        <v>192</v>
      </c>
      <c r="B95" s="101" t="s">
        <v>13</v>
      </c>
      <c r="C95" s="102" t="s">
        <v>168</v>
      </c>
      <c r="D95" s="102" t="s">
        <v>187</v>
      </c>
      <c r="E95" s="95"/>
      <c r="H95" s="96" t="s">
        <v>558</v>
      </c>
      <c r="I95" s="103"/>
      <c r="J95" s="104"/>
      <c r="K95" s="99">
        <f t="shared" si="1"/>
        <v>3</v>
      </c>
      <c r="M95" s="106" t="str">
        <f>HYPERLINK("EM-1.1.1_RRF221_media/BOROS-01_2D-016_01.png")</f>
        <v>EM-1.1.1_RRF221_media/BOROS-01_2D-016_01.png</v>
      </c>
    </row>
    <row r="96" spans="1:13" ht="40.200000000000003" x14ac:dyDescent="0.3">
      <c r="A96" s="107" t="s">
        <v>193</v>
      </c>
      <c r="B96" s="101" t="s">
        <v>13</v>
      </c>
      <c r="C96" s="102" t="s">
        <v>168</v>
      </c>
      <c r="D96" s="102" t="s">
        <v>187</v>
      </c>
      <c r="E96" s="95"/>
      <c r="H96" s="96" t="s">
        <v>558</v>
      </c>
      <c r="I96" s="103"/>
      <c r="J96" s="104"/>
      <c r="K96" s="99">
        <f t="shared" si="1"/>
        <v>3</v>
      </c>
      <c r="M96" s="106" t="str">
        <f>HYPERLINK("EM-1.1.1_RRF221_media/BOROS-01_2D-017_02.png")</f>
        <v>EM-1.1.1_RRF221_media/BOROS-01_2D-017_02.png</v>
      </c>
    </row>
    <row r="97" spans="1:13" ht="40.200000000000003" x14ac:dyDescent="0.3">
      <c r="A97" s="107" t="s">
        <v>194</v>
      </c>
      <c r="B97" s="101" t="s">
        <v>13</v>
      </c>
      <c r="C97" s="102" t="s">
        <v>168</v>
      </c>
      <c r="D97" s="102" t="s">
        <v>187</v>
      </c>
      <c r="E97" s="95"/>
      <c r="H97" s="96" t="s">
        <v>558</v>
      </c>
      <c r="I97" s="103"/>
      <c r="J97" s="104"/>
      <c r="K97" s="99">
        <f t="shared" si="1"/>
        <v>3</v>
      </c>
      <c r="M97" s="106" t="str">
        <f>HYPERLINK("EM-1.1.1_RRF221_media/BOROS-01_2D-016_02.png")</f>
        <v>EM-1.1.1_RRF221_media/BOROS-01_2D-016_02.png</v>
      </c>
    </row>
    <row r="98" spans="1:13" ht="40.200000000000003" x14ac:dyDescent="0.3">
      <c r="A98" s="107" t="s">
        <v>195</v>
      </c>
      <c r="B98" s="101" t="s">
        <v>13</v>
      </c>
      <c r="C98" s="102" t="s">
        <v>168</v>
      </c>
      <c r="D98" s="102" t="s">
        <v>196</v>
      </c>
      <c r="E98" s="95"/>
      <c r="H98" s="96" t="s">
        <v>558</v>
      </c>
      <c r="I98" s="103"/>
      <c r="J98" s="104"/>
      <c r="K98" s="99">
        <f t="shared" si="1"/>
        <v>3</v>
      </c>
      <c r="M98" s="106" t="str">
        <f>HYPERLINK("EM-1.1.1_RRF221_media/BOROS-01_2DA-007_borito.png")</f>
        <v>EM-1.1.1_RRF221_media/BOROS-01_2DA-007_borito.png</v>
      </c>
    </row>
    <row r="99" spans="1:13" ht="40.200000000000003" x14ac:dyDescent="0.3">
      <c r="A99" s="107" t="s">
        <v>197</v>
      </c>
      <c r="B99" s="101" t="s">
        <v>11</v>
      </c>
      <c r="C99" s="102" t="s">
        <v>168</v>
      </c>
      <c r="D99" s="102" t="s">
        <v>196</v>
      </c>
      <c r="E99" s="95"/>
      <c r="H99" s="96" t="s">
        <v>558</v>
      </c>
      <c r="I99" s="96"/>
      <c r="J99" s="108">
        <v>157</v>
      </c>
      <c r="K99" s="99">
        <f t="shared" si="1"/>
        <v>70</v>
      </c>
      <c r="M99" s="106" t="str">
        <f>HYPERLINK("EM-1.1.1_RRF221_media/BOROS-01_2DA-007.mp4")</f>
        <v>EM-1.1.1_RRF221_media/BOROS-01_2DA-007.mp4</v>
      </c>
    </row>
    <row r="100" spans="1:13" ht="53.4" x14ac:dyDescent="0.3">
      <c r="A100" s="107" t="s">
        <v>198</v>
      </c>
      <c r="B100" s="101" t="s">
        <v>11</v>
      </c>
      <c r="C100" s="102" t="s">
        <v>199</v>
      </c>
      <c r="D100" s="102" t="s">
        <v>74</v>
      </c>
      <c r="E100" s="95"/>
      <c r="H100" s="96" t="s">
        <v>558</v>
      </c>
      <c r="I100" s="103"/>
      <c r="J100" s="104"/>
      <c r="K100" s="99">
        <f t="shared" si="1"/>
        <v>25</v>
      </c>
      <c r="M100" s="106" t="str">
        <f>HYPERLINK("EM-1.1.1_RRF221_media/BOROS-01_2DA-008.png")</f>
        <v>EM-1.1.1_RRF221_media/BOROS-01_2DA-008.png</v>
      </c>
    </row>
    <row r="101" spans="1:13" ht="53.4" x14ac:dyDescent="0.3">
      <c r="A101" s="107" t="s">
        <v>200</v>
      </c>
      <c r="B101" s="101" t="s">
        <v>17</v>
      </c>
      <c r="C101" s="102" t="s">
        <v>199</v>
      </c>
      <c r="D101" s="102" t="s">
        <v>201</v>
      </c>
      <c r="E101" s="95"/>
      <c r="H101" s="96" t="s">
        <v>558</v>
      </c>
      <c r="I101" s="103"/>
      <c r="J101" s="104"/>
      <c r="K101" s="99">
        <f t="shared" si="1"/>
        <v>1</v>
      </c>
      <c r="M101" s="106" t="str">
        <f>HYPERLINK("EM-1.1.1_RRF221_media/BOROS-01_SF-040.jpg")</f>
        <v>EM-1.1.1_RRF221_media/BOROS-01_SF-040.jpg</v>
      </c>
    </row>
    <row r="102" spans="1:13" ht="53.4" x14ac:dyDescent="0.3">
      <c r="A102" s="107" t="s">
        <v>202</v>
      </c>
      <c r="B102" s="101" t="s">
        <v>17</v>
      </c>
      <c r="C102" s="102" t="s">
        <v>199</v>
      </c>
      <c r="D102" s="102" t="s">
        <v>203</v>
      </c>
      <c r="E102" s="95"/>
      <c r="H102" s="96" t="s">
        <v>558</v>
      </c>
      <c r="I102" s="103"/>
      <c r="J102" s="104"/>
      <c r="K102" s="99">
        <f t="shared" si="1"/>
        <v>1</v>
      </c>
      <c r="M102" s="106" t="str">
        <f>HYPERLINK("EM-1.1.1_RRF221_media/BOROS-01_F-021.jpg")</f>
        <v>EM-1.1.1_RRF221_media/BOROS-01_F-021.jpg</v>
      </c>
    </row>
    <row r="103" spans="1:13" ht="53.4" x14ac:dyDescent="0.3">
      <c r="A103" s="107" t="s">
        <v>204</v>
      </c>
      <c r="B103" s="101" t="s">
        <v>33</v>
      </c>
      <c r="C103" s="102" t="s">
        <v>199</v>
      </c>
      <c r="D103" s="102" t="s">
        <v>205</v>
      </c>
      <c r="E103" s="95"/>
      <c r="H103" s="96" t="s">
        <v>558</v>
      </c>
      <c r="I103" s="103"/>
      <c r="J103" s="104">
        <v>19</v>
      </c>
      <c r="K103" s="99">
        <f t="shared" si="1"/>
        <v>4</v>
      </c>
      <c r="M103" s="66" t="str">
        <f>HYPERLINK("EM-1.1.1_RRF221_media/BOROS-01_VID-003.mp4")</f>
        <v>EM-1.1.1_RRF221_media/BOROS-01_VID-003.mp4</v>
      </c>
    </row>
    <row r="104" spans="1:13" ht="53.4" x14ac:dyDescent="0.3">
      <c r="A104" s="107" t="s">
        <v>206</v>
      </c>
      <c r="B104" s="101" t="s">
        <v>13</v>
      </c>
      <c r="C104" s="102" t="s">
        <v>199</v>
      </c>
      <c r="D104" s="102" t="s">
        <v>205</v>
      </c>
      <c r="E104" s="95"/>
      <c r="H104" s="96" t="s">
        <v>558</v>
      </c>
      <c r="I104" s="96"/>
      <c r="J104" s="108"/>
      <c r="K104" s="99">
        <f t="shared" si="1"/>
        <v>3</v>
      </c>
      <c r="M104" s="106" t="str">
        <f>HYPERLINK("EM-1.1.1_RRF221_media/BOROS-01_VID-003_borito.jpg")</f>
        <v>EM-1.1.1_RRF221_media/BOROS-01_VID-003_borito.jpg</v>
      </c>
    </row>
    <row r="105" spans="1:13" ht="53.4" x14ac:dyDescent="0.3">
      <c r="A105" s="107" t="s">
        <v>207</v>
      </c>
      <c r="B105" s="101" t="s">
        <v>33</v>
      </c>
      <c r="C105" s="102" t="s">
        <v>199</v>
      </c>
      <c r="D105" s="102" t="s">
        <v>205</v>
      </c>
      <c r="E105" s="95"/>
      <c r="H105" s="96" t="s">
        <v>558</v>
      </c>
      <c r="I105" s="103"/>
      <c r="J105" s="104">
        <v>28</v>
      </c>
      <c r="K105" s="99">
        <f t="shared" si="1"/>
        <v>6</v>
      </c>
      <c r="M105" s="106" t="str">
        <f>HYPERLINK("EM-1.1.1_RRF221_media/BOROS-01_VID-004.mp4")</f>
        <v>EM-1.1.1_RRF221_media/BOROS-01_VID-004.mp4</v>
      </c>
    </row>
    <row r="106" spans="1:13" ht="53.4" x14ac:dyDescent="0.3">
      <c r="A106" s="107" t="s">
        <v>208</v>
      </c>
      <c r="B106" s="101" t="s">
        <v>13</v>
      </c>
      <c r="C106" s="102" t="s">
        <v>199</v>
      </c>
      <c r="D106" s="102" t="s">
        <v>205</v>
      </c>
      <c r="E106" s="95"/>
      <c r="H106" s="96" t="s">
        <v>558</v>
      </c>
      <c r="I106" s="103"/>
      <c r="J106" s="104"/>
      <c r="K106" s="99">
        <f t="shared" si="1"/>
        <v>3</v>
      </c>
      <c r="M106" s="106" t="str">
        <f>HYPERLINK("EM-1.1.1_RRF221_media/BOROS-01_VID-004_borito.jpg")</f>
        <v>EM-1.1.1_RRF221_media/BOROS-01_VID-004_borito.jpg</v>
      </c>
    </row>
    <row r="107" spans="1:13" ht="53.4" x14ac:dyDescent="0.3">
      <c r="A107" s="107" t="s">
        <v>209</v>
      </c>
      <c r="B107" s="101" t="s">
        <v>11</v>
      </c>
      <c r="C107" s="102" t="s">
        <v>199</v>
      </c>
      <c r="D107" s="102" t="s">
        <v>210</v>
      </c>
      <c r="E107" s="95"/>
      <c r="H107" s="96" t="s">
        <v>558</v>
      </c>
      <c r="I107" s="103"/>
      <c r="J107" s="104">
        <v>134</v>
      </c>
      <c r="K107" s="99">
        <f t="shared" si="1"/>
        <v>64</v>
      </c>
      <c r="M107" s="106" t="str">
        <f>HYPERLINK("EM-1.1.1_RRF221_media/BOROS-01_2DA-009.mp4")</f>
        <v>EM-1.1.1_RRF221_media/BOROS-01_2DA-009.mp4</v>
      </c>
    </row>
    <row r="108" spans="1:13" ht="53.4" x14ac:dyDescent="0.3">
      <c r="A108" s="107" t="s">
        <v>211</v>
      </c>
      <c r="B108" s="101" t="s">
        <v>13</v>
      </c>
      <c r="C108" s="102" t="s">
        <v>199</v>
      </c>
      <c r="D108" s="102" t="s">
        <v>210</v>
      </c>
      <c r="E108" s="95"/>
      <c r="H108" s="96" t="s">
        <v>558</v>
      </c>
      <c r="I108" s="103"/>
      <c r="J108" s="104"/>
      <c r="K108" s="99">
        <f t="shared" si="1"/>
        <v>3</v>
      </c>
      <c r="M108" s="106" t="str">
        <f>HYPERLINK("EM-1.1.1_RRF221_media/BOROS-01_2DA-009_borito.png")</f>
        <v>EM-1.1.1_RRF221_media/BOROS-01_2DA-009_borito.png</v>
      </c>
    </row>
    <row r="109" spans="1:13" ht="53.4" x14ac:dyDescent="0.3">
      <c r="A109" s="107" t="s">
        <v>212</v>
      </c>
      <c r="B109" s="101" t="s">
        <v>17</v>
      </c>
      <c r="C109" s="102" t="s">
        <v>199</v>
      </c>
      <c r="D109" s="102" t="s">
        <v>213</v>
      </c>
      <c r="E109" s="95"/>
      <c r="H109" s="96" t="s">
        <v>558</v>
      </c>
      <c r="I109" s="96"/>
      <c r="J109" s="108"/>
      <c r="K109" s="99">
        <f t="shared" si="1"/>
        <v>1</v>
      </c>
      <c r="M109" s="106" t="str">
        <f>HYPERLINK("EM-1.1.1_RRF221_media/BOROS-01_F-009.jpg")</f>
        <v>EM-1.1.1_RRF221_media/BOROS-01_F-009.jpg</v>
      </c>
    </row>
    <row r="110" spans="1:13" ht="53.4" x14ac:dyDescent="0.3">
      <c r="A110" s="107" t="s">
        <v>214</v>
      </c>
      <c r="B110" s="101" t="s">
        <v>17</v>
      </c>
      <c r="C110" s="102" t="s">
        <v>199</v>
      </c>
      <c r="D110" s="102" t="s">
        <v>213</v>
      </c>
      <c r="E110" s="95"/>
      <c r="H110" s="96" t="s">
        <v>558</v>
      </c>
      <c r="I110" s="103"/>
      <c r="J110" s="104"/>
      <c r="K110" s="99">
        <f t="shared" si="1"/>
        <v>1</v>
      </c>
      <c r="M110" s="106" t="str">
        <f>HYPERLINK("EM-1.1.1_RRF221_media/BOROS-01_F-010.jpg")</f>
        <v>EM-1.1.1_RRF221_media/BOROS-01_F-010.jpg</v>
      </c>
    </row>
    <row r="111" spans="1:13" ht="53.4" x14ac:dyDescent="0.3">
      <c r="A111" s="107" t="s">
        <v>215</v>
      </c>
      <c r="B111" s="101" t="s">
        <v>17</v>
      </c>
      <c r="C111" s="102" t="s">
        <v>199</v>
      </c>
      <c r="D111" s="102" t="s">
        <v>213</v>
      </c>
      <c r="E111" s="95"/>
      <c r="H111" s="96" t="s">
        <v>558</v>
      </c>
      <c r="I111" s="103"/>
      <c r="J111" s="104"/>
      <c r="K111" s="99">
        <f t="shared" si="1"/>
        <v>1</v>
      </c>
      <c r="M111" s="106" t="str">
        <f>HYPERLINK("EM-1.1.1_RRF221_media/BOROS-01_SF-041.jpg")</f>
        <v>EM-1.1.1_RRF221_media/BOROS-01_SF-041.jpg</v>
      </c>
    </row>
    <row r="112" spans="1:13" ht="53.4" x14ac:dyDescent="0.3">
      <c r="A112" s="107" t="s">
        <v>216</v>
      </c>
      <c r="B112" s="101" t="s">
        <v>17</v>
      </c>
      <c r="C112" s="102" t="s">
        <v>199</v>
      </c>
      <c r="D112" s="102" t="s">
        <v>217</v>
      </c>
      <c r="E112" s="95"/>
      <c r="H112" s="96" t="s">
        <v>558</v>
      </c>
      <c r="I112" s="103"/>
      <c r="J112" s="104"/>
      <c r="K112" s="99">
        <f t="shared" si="1"/>
        <v>1</v>
      </c>
      <c r="M112" s="106" t="str">
        <f>HYPERLINK("EM-1.1.1_RRF221_media/BOROS-01_SF-042.jpg")</f>
        <v>EM-1.1.1_RRF221_media/BOROS-01_SF-042.jpg</v>
      </c>
    </row>
    <row r="113" spans="1:13" ht="53.4" x14ac:dyDescent="0.3">
      <c r="A113" s="107" t="s">
        <v>218</v>
      </c>
      <c r="B113" s="101" t="s">
        <v>17</v>
      </c>
      <c r="C113" s="102" t="s">
        <v>199</v>
      </c>
      <c r="D113" s="102" t="s">
        <v>217</v>
      </c>
      <c r="E113" s="95"/>
      <c r="H113" s="96" t="s">
        <v>558</v>
      </c>
      <c r="I113" s="103"/>
      <c r="J113" s="104"/>
      <c r="K113" s="99">
        <f t="shared" si="1"/>
        <v>1</v>
      </c>
      <c r="M113" s="106" t="str">
        <f>HYPERLINK("EM-1.1.1_RRF221_media/BOROS-01_F-011.jpg")</f>
        <v>EM-1.1.1_RRF221_media/BOROS-01_F-011.jpg</v>
      </c>
    </row>
    <row r="114" spans="1:13" ht="53.4" x14ac:dyDescent="0.3">
      <c r="A114" s="107" t="s">
        <v>219</v>
      </c>
      <c r="B114" s="101" t="s">
        <v>17</v>
      </c>
      <c r="C114" s="102" t="s">
        <v>199</v>
      </c>
      <c r="D114" s="102" t="s">
        <v>220</v>
      </c>
      <c r="E114" s="95"/>
      <c r="H114" s="96" t="s">
        <v>558</v>
      </c>
      <c r="I114" s="96"/>
      <c r="J114" s="108"/>
      <c r="K114" s="99">
        <f t="shared" si="1"/>
        <v>1</v>
      </c>
      <c r="M114" s="106" t="str">
        <f>HYPERLINK("EM-1.1.1_RRF221_media/BOROS-01_F-022.jpg")</f>
        <v>EM-1.1.1_RRF221_media/BOROS-01_F-022.jpg</v>
      </c>
    </row>
    <row r="115" spans="1:13" ht="53.4" x14ac:dyDescent="0.3">
      <c r="A115" s="107" t="s">
        <v>221</v>
      </c>
      <c r="B115" s="101" t="s">
        <v>17</v>
      </c>
      <c r="C115" s="102" t="s">
        <v>199</v>
      </c>
      <c r="D115" s="102" t="s">
        <v>220</v>
      </c>
      <c r="E115" s="95"/>
      <c r="H115" s="96" t="s">
        <v>558</v>
      </c>
      <c r="I115" s="103"/>
      <c r="J115" s="104"/>
      <c r="K115" s="99">
        <f t="shared" si="1"/>
        <v>1</v>
      </c>
      <c r="M115" s="106" t="str">
        <f>HYPERLINK("EM-1.1.1_RRF221_media/BOROS-01_SF-043.jpg")</f>
        <v>EM-1.1.1_RRF221_media/BOROS-01_SF-043.jpg</v>
      </c>
    </row>
    <row r="116" spans="1:13" ht="53.4" x14ac:dyDescent="0.3">
      <c r="A116" s="107" t="s">
        <v>222</v>
      </c>
      <c r="B116" s="101" t="s">
        <v>17</v>
      </c>
      <c r="C116" s="102" t="s">
        <v>199</v>
      </c>
      <c r="D116" s="102" t="s">
        <v>220</v>
      </c>
      <c r="E116" s="95"/>
      <c r="H116" s="96" t="s">
        <v>558</v>
      </c>
      <c r="I116" s="103"/>
      <c r="J116" s="104"/>
      <c r="K116" s="99">
        <f t="shared" si="1"/>
        <v>1</v>
      </c>
      <c r="M116" s="106" t="str">
        <f>HYPERLINK("EM-1.1.1_RRF221_media/BOROS-01_SF-044.jpg")</f>
        <v>EM-1.1.1_RRF221_media/BOROS-01_SF-044.jpg</v>
      </c>
    </row>
    <row r="117" spans="1:13" ht="53.4" x14ac:dyDescent="0.3">
      <c r="A117" s="107" t="s">
        <v>223</v>
      </c>
      <c r="B117" s="101" t="s">
        <v>17</v>
      </c>
      <c r="C117" s="102" t="s">
        <v>199</v>
      </c>
      <c r="D117" s="102" t="s">
        <v>224</v>
      </c>
      <c r="E117" s="95"/>
      <c r="H117" s="96" t="s">
        <v>558</v>
      </c>
      <c r="I117" s="103"/>
      <c r="J117" s="104"/>
      <c r="K117" s="99">
        <f t="shared" si="1"/>
        <v>1</v>
      </c>
      <c r="M117" s="106" t="str">
        <f>HYPERLINK("EM-1.1.1_RRF221_media/BOROS-01_SF-045.jpg")</f>
        <v>EM-1.1.1_RRF221_media/BOROS-01_SF-045.jpg</v>
      </c>
    </row>
    <row r="118" spans="1:13" ht="53.4" x14ac:dyDescent="0.3">
      <c r="A118" s="107" t="s">
        <v>225</v>
      </c>
      <c r="B118" s="101" t="s">
        <v>17</v>
      </c>
      <c r="C118" s="102" t="s">
        <v>199</v>
      </c>
      <c r="D118" s="102" t="s">
        <v>226</v>
      </c>
      <c r="E118" s="95"/>
      <c r="H118" s="96" t="s">
        <v>558</v>
      </c>
      <c r="I118" s="103"/>
      <c r="J118" s="104"/>
      <c r="K118" s="99">
        <f t="shared" si="1"/>
        <v>1</v>
      </c>
      <c r="M118" s="106" t="str">
        <f>HYPERLINK("EM-1.1.1_RRF221_media/BOROS-01_F-012.jpg")</f>
        <v>EM-1.1.1_RRF221_media/BOROS-01_F-012.jpg</v>
      </c>
    </row>
    <row r="119" spans="1:13" ht="53.4" x14ac:dyDescent="0.3">
      <c r="A119" s="107" t="s">
        <v>227</v>
      </c>
      <c r="B119" s="101" t="s">
        <v>17</v>
      </c>
      <c r="C119" s="102" t="s">
        <v>199</v>
      </c>
      <c r="D119" s="102" t="s">
        <v>228</v>
      </c>
      <c r="E119" s="95"/>
      <c r="H119" s="96" t="s">
        <v>558</v>
      </c>
      <c r="I119" s="96"/>
      <c r="J119" s="108"/>
      <c r="K119" s="99">
        <f t="shared" si="1"/>
        <v>1</v>
      </c>
      <c r="M119" s="106" t="str">
        <f>HYPERLINK("EM-1.1.1_RRF221_media/BOROS-01_F-023.jpg")</f>
        <v>EM-1.1.1_RRF221_media/BOROS-01_F-023.jpg</v>
      </c>
    </row>
    <row r="120" spans="1:13" ht="53.4" x14ac:dyDescent="0.3">
      <c r="A120" s="107" t="s">
        <v>229</v>
      </c>
      <c r="B120" s="101" t="s">
        <v>17</v>
      </c>
      <c r="C120" s="102" t="s">
        <v>199</v>
      </c>
      <c r="D120" s="102" t="s">
        <v>230</v>
      </c>
      <c r="E120" s="95"/>
      <c r="H120" s="96" t="s">
        <v>558</v>
      </c>
      <c r="I120" s="103"/>
      <c r="J120" s="104"/>
      <c r="K120" s="99">
        <f t="shared" si="1"/>
        <v>1</v>
      </c>
      <c r="M120" s="106" t="str">
        <f>HYPERLINK("EM-1.1.1_RRF221_media/BOROS-01_SF-046.jpg")</f>
        <v>EM-1.1.1_RRF221_media/BOROS-01_SF-046.jpg</v>
      </c>
    </row>
    <row r="121" spans="1:13" ht="53.4" x14ac:dyDescent="0.3">
      <c r="A121" s="107" t="s">
        <v>231</v>
      </c>
      <c r="B121" s="101" t="s">
        <v>17</v>
      </c>
      <c r="C121" s="102" t="s">
        <v>199</v>
      </c>
      <c r="D121" s="102" t="s">
        <v>232</v>
      </c>
      <c r="E121" s="95"/>
      <c r="H121" s="96" t="s">
        <v>558</v>
      </c>
      <c r="I121" s="103"/>
      <c r="J121" s="104"/>
      <c r="K121" s="99">
        <f t="shared" si="1"/>
        <v>1</v>
      </c>
      <c r="M121" s="106" t="str">
        <f>HYPERLINK("EM-1.1.1_RRF221_media/BOROS-01_SF-047.jpg")</f>
        <v>EM-1.1.1_RRF221_media/BOROS-01_SF-047.jpg</v>
      </c>
    </row>
    <row r="122" spans="1:13" ht="27" x14ac:dyDescent="0.3">
      <c r="A122" s="107" t="s">
        <v>233</v>
      </c>
      <c r="B122" s="101" t="s">
        <v>17</v>
      </c>
      <c r="C122" s="102" t="s">
        <v>140</v>
      </c>
      <c r="D122" s="102" t="s">
        <v>234</v>
      </c>
      <c r="E122" s="95"/>
      <c r="H122" s="96" t="s">
        <v>558</v>
      </c>
      <c r="I122" s="103"/>
      <c r="J122" s="104"/>
      <c r="K122" s="99">
        <f t="shared" si="1"/>
        <v>1</v>
      </c>
      <c r="M122" s="106" t="str">
        <f>HYPERLINK("EM-1.1.1_RRF221_media/BOROS-01_SF-118.jpg")</f>
        <v>EM-1.1.1_RRF221_media/BOROS-01_SF-118.jpg</v>
      </c>
    </row>
    <row r="123" spans="1:13" ht="27" x14ac:dyDescent="0.3">
      <c r="A123" s="107" t="s">
        <v>235</v>
      </c>
      <c r="B123" s="101" t="s">
        <v>17</v>
      </c>
      <c r="C123" s="102" t="s">
        <v>140</v>
      </c>
      <c r="D123" s="102" t="s">
        <v>234</v>
      </c>
      <c r="E123" s="95"/>
      <c r="H123" s="96" t="s">
        <v>558</v>
      </c>
      <c r="I123" s="103"/>
      <c r="J123" s="104"/>
      <c r="K123" s="99">
        <f t="shared" si="1"/>
        <v>1</v>
      </c>
      <c r="M123" s="106" t="str">
        <f>HYPERLINK("EM-1.1.1_RRF221_media/BOROS-01_F-013.jpg")</f>
        <v>EM-1.1.1_RRF221_media/BOROS-01_F-013.jpg</v>
      </c>
    </row>
    <row r="124" spans="1:13" ht="27" x14ac:dyDescent="0.3">
      <c r="A124" s="100" t="s">
        <v>236</v>
      </c>
      <c r="B124" s="101" t="s">
        <v>13</v>
      </c>
      <c r="C124" s="102" t="s">
        <v>140</v>
      </c>
      <c r="D124" s="102" t="s">
        <v>237</v>
      </c>
      <c r="E124" s="95"/>
      <c r="H124" s="96" t="s">
        <v>558</v>
      </c>
      <c r="I124" s="103"/>
      <c r="J124" s="104"/>
      <c r="K124" s="99">
        <f t="shared" si="1"/>
        <v>3</v>
      </c>
      <c r="M124" s="106" t="str">
        <f>HYPERLINK("EM-1.1.1_RRF221_media/BOROS-01_2D-021.png")</f>
        <v>EM-1.1.1_RRF221_media/BOROS-01_2D-021.png</v>
      </c>
    </row>
    <row r="125" spans="1:13" ht="27" x14ac:dyDescent="0.3">
      <c r="A125" s="100" t="s">
        <v>238</v>
      </c>
      <c r="B125" s="101" t="s">
        <v>13</v>
      </c>
      <c r="C125" s="102" t="s">
        <v>140</v>
      </c>
      <c r="D125" s="102" t="s">
        <v>237</v>
      </c>
      <c r="E125" s="95"/>
      <c r="H125" s="96" t="s">
        <v>558</v>
      </c>
      <c r="I125" s="103"/>
      <c r="J125" s="104"/>
      <c r="K125" s="99">
        <f t="shared" si="1"/>
        <v>3</v>
      </c>
      <c r="M125" s="106" t="str">
        <f>HYPERLINK("EM-1.1.1_RRF221_media/BOROS-01_2D-020.png")</f>
        <v>EM-1.1.1_RRF221_media/BOROS-01_2D-020.png</v>
      </c>
    </row>
    <row r="126" spans="1:13" ht="27" x14ac:dyDescent="0.3">
      <c r="A126" s="100" t="s">
        <v>239</v>
      </c>
      <c r="B126" s="101" t="s">
        <v>17</v>
      </c>
      <c r="C126" s="102" t="s">
        <v>140</v>
      </c>
      <c r="D126" s="102" t="s">
        <v>237</v>
      </c>
      <c r="E126" s="95"/>
      <c r="H126" s="96" t="s">
        <v>558</v>
      </c>
      <c r="I126" s="103"/>
      <c r="J126" s="104"/>
      <c r="K126" s="99">
        <f t="shared" si="1"/>
        <v>1</v>
      </c>
      <c r="M126" s="66" t="str">
        <f>HYPERLINK("EM-1.1.1_RRF221_media/BOROS-01_SF-049.jpg")</f>
        <v>EM-1.1.1_RRF221_media/BOROS-01_SF-049.jpg</v>
      </c>
    </row>
    <row r="127" spans="1:13" ht="27" x14ac:dyDescent="0.3">
      <c r="A127" s="100" t="s">
        <v>240</v>
      </c>
      <c r="B127" s="101" t="s">
        <v>17</v>
      </c>
      <c r="C127" s="102" t="s">
        <v>140</v>
      </c>
      <c r="D127" s="102" t="s">
        <v>237</v>
      </c>
      <c r="E127" s="95"/>
      <c r="H127" s="96" t="s">
        <v>558</v>
      </c>
      <c r="I127" s="103"/>
      <c r="J127" s="104"/>
      <c r="K127" s="99">
        <f t="shared" si="1"/>
        <v>1</v>
      </c>
      <c r="M127" s="106" t="str">
        <f>HYPERLINK("EM-1.1.1_RRF221_media/BOROS-01_SF-050.jpg")</f>
        <v>EM-1.1.1_RRF221_media/BOROS-01_SF-050.jpg</v>
      </c>
    </row>
    <row r="128" spans="1:13" ht="27" x14ac:dyDescent="0.3">
      <c r="A128" s="107" t="s">
        <v>241</v>
      </c>
      <c r="B128" s="101" t="s">
        <v>13</v>
      </c>
      <c r="C128" s="102" t="s">
        <v>140</v>
      </c>
      <c r="D128" s="102" t="s">
        <v>237</v>
      </c>
      <c r="E128" s="95"/>
      <c r="H128" s="96" t="s">
        <v>558</v>
      </c>
      <c r="I128" s="96"/>
      <c r="J128" s="108"/>
      <c r="K128" s="99">
        <f t="shared" si="1"/>
        <v>3</v>
      </c>
      <c r="M128" s="106" t="str">
        <f>HYPERLINK("EM-1.1.1_RRF221_media/BOROS-01_2D-019.png")</f>
        <v>EM-1.1.1_RRF221_media/BOROS-01_2D-019.png</v>
      </c>
    </row>
    <row r="129" spans="1:13" ht="27" x14ac:dyDescent="0.3">
      <c r="A129" s="107" t="s">
        <v>242</v>
      </c>
      <c r="B129" s="101" t="s">
        <v>13</v>
      </c>
      <c r="C129" s="102" t="s">
        <v>140</v>
      </c>
      <c r="D129" s="102" t="s">
        <v>243</v>
      </c>
      <c r="E129" s="95"/>
      <c r="H129" s="96" t="s">
        <v>558</v>
      </c>
      <c r="I129" s="103"/>
      <c r="J129" s="104"/>
      <c r="K129" s="99">
        <f t="shared" si="1"/>
        <v>3</v>
      </c>
      <c r="M129" s="106" t="str">
        <f>HYPERLINK("EM-1.1.1_RRF221_media/BOROS-01_2D-022.png")</f>
        <v>EM-1.1.1_RRF221_media/BOROS-01_2D-022.png</v>
      </c>
    </row>
    <row r="130" spans="1:13" ht="27" x14ac:dyDescent="0.3">
      <c r="A130" s="107" t="s">
        <v>244</v>
      </c>
      <c r="B130" s="101" t="s">
        <v>13</v>
      </c>
      <c r="C130" s="102" t="s">
        <v>140</v>
      </c>
      <c r="D130" s="102" t="s">
        <v>243</v>
      </c>
      <c r="E130" s="95"/>
      <c r="H130" s="96" t="s">
        <v>558</v>
      </c>
      <c r="I130" s="103"/>
      <c r="J130" s="104"/>
      <c r="K130" s="99">
        <f t="shared" si="1"/>
        <v>3</v>
      </c>
      <c r="M130" s="106" t="str">
        <f>HYPERLINK("EM-1.1.1_RRF221_media/BOROS-01_2D-023.png")</f>
        <v>EM-1.1.1_RRF221_media/BOROS-01_2D-023.png</v>
      </c>
    </row>
    <row r="131" spans="1:13" ht="40.200000000000003" x14ac:dyDescent="0.3">
      <c r="A131" s="107" t="s">
        <v>245</v>
      </c>
      <c r="B131" s="101" t="s">
        <v>11</v>
      </c>
      <c r="C131" s="102" t="s">
        <v>246</v>
      </c>
      <c r="D131" s="102" t="s">
        <v>74</v>
      </c>
      <c r="E131" s="95"/>
      <c r="H131" s="96" t="s">
        <v>558</v>
      </c>
      <c r="I131" s="103"/>
      <c r="J131" s="104"/>
      <c r="K131" s="99">
        <f t="shared" si="1"/>
        <v>25</v>
      </c>
      <c r="M131" s="106" t="str">
        <f>HYPERLINK("EM-1.1.1_RRF221_media/BOROS-01_2DA-010.png")</f>
        <v>EM-1.1.1_RRF221_media/BOROS-01_2DA-010.png</v>
      </c>
    </row>
    <row r="132" spans="1:13" ht="66.599999999999994" x14ac:dyDescent="0.3">
      <c r="A132" s="107" t="s">
        <v>247</v>
      </c>
      <c r="B132" s="101" t="s">
        <v>11</v>
      </c>
      <c r="C132" s="102" t="s">
        <v>248</v>
      </c>
      <c r="D132" s="102" t="s">
        <v>74</v>
      </c>
      <c r="E132" s="95"/>
      <c r="H132" s="96" t="s">
        <v>558</v>
      </c>
      <c r="I132" s="103"/>
      <c r="J132" s="104"/>
      <c r="K132" s="99">
        <f t="shared" si="1"/>
        <v>25</v>
      </c>
      <c r="M132" s="106" t="str">
        <f>HYPERLINK("EM-1.1.1_RRF221_media/BOROS-01_2DA-011.png")</f>
        <v>EM-1.1.1_RRF221_media/BOROS-01_2DA-011.png</v>
      </c>
    </row>
    <row r="133" spans="1:13" ht="66.599999999999994" x14ac:dyDescent="0.3">
      <c r="A133" s="107" t="s">
        <v>249</v>
      </c>
      <c r="B133" s="101" t="s">
        <v>13</v>
      </c>
      <c r="C133" s="102" t="s">
        <v>248</v>
      </c>
      <c r="D133" s="102" t="s">
        <v>250</v>
      </c>
      <c r="E133" s="95"/>
      <c r="H133" s="96" t="s">
        <v>558</v>
      </c>
      <c r="I133" s="96"/>
      <c r="J133" s="108"/>
      <c r="K133" s="99">
        <f t="shared" ref="K133:K196" si="2">IF(H133 ="x",IF(B133="Fotó", 1,IF(B133 = "2D grafika", 3, IF(B133 = "3D grafika", 8, IF(B133 ="2D animáció", IF(J133&lt;=10, 25, IF(J133&lt;=20, 28, IF(J133&lt;=30, 31, IF(J133&lt;=40, 34, IF(J133&lt;=50, 37, 37 + ROUNDUP((J133-50)/10, 0)*3))))),IF(B133="3D animáció", IF(J133&lt;=10, 40, IF(J133&lt;=20, 48, IF(J133&lt;=30, 56, IF(J133&lt;=40, 64, IF(J133&lt;=50, 72, 72 + ROUNDUP((J133-50)/10, 0)*8))))), IF(B133="Videó egyszereplős", ROUNDUP(J133/10,0)*2, IF(B133 ="Videó egyszereplős narrációval", ROUNDUP(J133/10,0)*3, IF(B133="Videó többszereplős", ROUNDUP(J133/10,0)*2, IF(B133 ="Videó többszereplős narrációval", ROUNDUP(J133/10,0)*4, IF(B133 ="Hangzóanyag", ROUNDUP(J133/10,0)*1, IF(B133="Interaktív animáció (szimuláció)",13,0))))))))))),0)</f>
        <v>3</v>
      </c>
      <c r="M133" s="106" t="str">
        <f>HYPERLINK("EM-1.1.1_RRF221_media/BOROS-01_2D-026_01.png")</f>
        <v>EM-1.1.1_RRF221_media/BOROS-01_2D-026_01.png</v>
      </c>
    </row>
    <row r="134" spans="1:13" ht="66.599999999999994" x14ac:dyDescent="0.3">
      <c r="A134" s="107" t="s">
        <v>251</v>
      </c>
      <c r="B134" s="101" t="s">
        <v>13</v>
      </c>
      <c r="C134" s="102" t="s">
        <v>248</v>
      </c>
      <c r="D134" s="102" t="s">
        <v>250</v>
      </c>
      <c r="E134" s="95"/>
      <c r="H134" s="96" t="s">
        <v>558</v>
      </c>
      <c r="I134" s="103"/>
      <c r="J134" s="104"/>
      <c r="K134" s="99">
        <f t="shared" si="2"/>
        <v>3</v>
      </c>
      <c r="M134" s="106" t="str">
        <f>HYPERLINK("EM-1.1.1_RRF221_media/BOROS-01_2D-026_02.png")</f>
        <v>EM-1.1.1_RRF221_media/BOROS-01_2D-026_02.png</v>
      </c>
    </row>
    <row r="135" spans="1:13" ht="66.599999999999994" x14ac:dyDescent="0.3">
      <c r="A135" s="107" t="s">
        <v>252</v>
      </c>
      <c r="B135" s="101" t="s">
        <v>13</v>
      </c>
      <c r="C135" s="102" t="s">
        <v>248</v>
      </c>
      <c r="D135" s="102" t="s">
        <v>250</v>
      </c>
      <c r="E135" s="95"/>
      <c r="H135" s="96" t="s">
        <v>558</v>
      </c>
      <c r="I135" s="103"/>
      <c r="J135" s="104"/>
      <c r="K135" s="99">
        <f t="shared" si="2"/>
        <v>3</v>
      </c>
      <c r="M135" s="106" t="str">
        <f>HYPERLINK("EM-1.1.1_RRF221_media/BOROS-01_2D-024_02.png")</f>
        <v>EM-1.1.1_RRF221_media/BOROS-01_2D-024_02.png</v>
      </c>
    </row>
    <row r="136" spans="1:13" ht="66.599999999999994" x14ac:dyDescent="0.3">
      <c r="A136" s="107" t="s">
        <v>253</v>
      </c>
      <c r="B136" s="101" t="s">
        <v>13</v>
      </c>
      <c r="C136" s="102" t="s">
        <v>248</v>
      </c>
      <c r="D136" s="102" t="s">
        <v>250</v>
      </c>
      <c r="E136" s="95"/>
      <c r="H136" s="96" t="s">
        <v>558</v>
      </c>
      <c r="I136" s="103"/>
      <c r="J136" s="104"/>
      <c r="K136" s="99">
        <f t="shared" si="2"/>
        <v>3</v>
      </c>
      <c r="M136" s="106" t="str">
        <f>HYPERLINK("EM-1.1.1_RRF221_media/BOROS-01_2D-025_01.png")</f>
        <v>EM-1.1.1_RRF221_media/BOROS-01_2D-025_01.png</v>
      </c>
    </row>
    <row r="137" spans="1:13" ht="66.599999999999994" x14ac:dyDescent="0.3">
      <c r="A137" s="107" t="s">
        <v>254</v>
      </c>
      <c r="B137" s="101" t="s">
        <v>13</v>
      </c>
      <c r="C137" s="102" t="s">
        <v>248</v>
      </c>
      <c r="D137" s="102" t="s">
        <v>250</v>
      </c>
      <c r="E137" s="95"/>
      <c r="H137" s="96" t="s">
        <v>558</v>
      </c>
      <c r="I137" s="103"/>
      <c r="J137" s="104"/>
      <c r="K137" s="99">
        <f t="shared" si="2"/>
        <v>3</v>
      </c>
      <c r="M137" s="106" t="str">
        <f>HYPERLINK("EM-1.1.1_RRF221_media/BOROS-01_2D-025_02.png")</f>
        <v>EM-1.1.1_RRF221_media/BOROS-01_2D-025_02.png</v>
      </c>
    </row>
    <row r="138" spans="1:13" ht="66.599999999999994" x14ac:dyDescent="0.3">
      <c r="A138" s="107" t="s">
        <v>255</v>
      </c>
      <c r="B138" s="101" t="s">
        <v>13</v>
      </c>
      <c r="C138" s="102" t="s">
        <v>248</v>
      </c>
      <c r="D138" s="102" t="s">
        <v>250</v>
      </c>
      <c r="E138" s="95"/>
      <c r="H138" s="96" t="s">
        <v>558</v>
      </c>
      <c r="I138" s="96"/>
      <c r="J138" s="108"/>
      <c r="K138" s="99">
        <f t="shared" si="2"/>
        <v>3</v>
      </c>
      <c r="M138" s="106" t="str">
        <f>HYPERLINK("EM-1.1.1_RRF221_media/BOROS-01_2D-024_01.png")</f>
        <v>EM-1.1.1_RRF221_media/BOROS-01_2D-024_01.png</v>
      </c>
    </row>
    <row r="139" spans="1:13" ht="66.599999999999994" x14ac:dyDescent="0.3">
      <c r="A139" s="107" t="s">
        <v>256</v>
      </c>
      <c r="B139" s="101" t="s">
        <v>17</v>
      </c>
      <c r="C139" s="102" t="s">
        <v>248</v>
      </c>
      <c r="D139" s="102" t="s">
        <v>257</v>
      </c>
      <c r="E139" s="95"/>
      <c r="H139" s="96" t="s">
        <v>558</v>
      </c>
      <c r="I139" s="103"/>
      <c r="J139" s="104"/>
      <c r="K139" s="99">
        <f t="shared" si="2"/>
        <v>1</v>
      </c>
      <c r="M139" s="106" t="str">
        <f>HYPERLINK("EM-1.1.1_RRF221_media/BOROS-01_SF-052.jpg")</f>
        <v>EM-1.1.1_RRF221_media/BOROS-01_SF-052.jpg</v>
      </c>
    </row>
    <row r="140" spans="1:13" ht="66.599999999999994" x14ac:dyDescent="0.3">
      <c r="A140" s="107" t="s">
        <v>258</v>
      </c>
      <c r="B140" s="101" t="s">
        <v>17</v>
      </c>
      <c r="C140" s="102" t="s">
        <v>248</v>
      </c>
      <c r="D140" s="102" t="s">
        <v>257</v>
      </c>
      <c r="E140" s="95"/>
      <c r="H140" s="96" t="s">
        <v>558</v>
      </c>
      <c r="I140" s="103"/>
      <c r="J140" s="104"/>
      <c r="K140" s="99">
        <f t="shared" si="2"/>
        <v>1</v>
      </c>
      <c r="M140" s="106" t="str">
        <f>HYPERLINK("EM-1.1.1_RRF221_media/BOROS-01_SF-051.jpg")</f>
        <v>EM-1.1.1_RRF221_media/BOROS-01_SF-051.jpg</v>
      </c>
    </row>
    <row r="141" spans="1:13" ht="66.599999999999994" x14ac:dyDescent="0.3">
      <c r="A141" s="107" t="s">
        <v>259</v>
      </c>
      <c r="B141" s="101" t="s">
        <v>17</v>
      </c>
      <c r="C141" s="102" t="s">
        <v>248</v>
      </c>
      <c r="D141" s="102" t="s">
        <v>260</v>
      </c>
      <c r="E141" s="95"/>
      <c r="H141" s="96" t="s">
        <v>558</v>
      </c>
      <c r="I141" s="103"/>
      <c r="J141" s="104"/>
      <c r="K141" s="99">
        <f t="shared" si="2"/>
        <v>1</v>
      </c>
      <c r="M141" s="106" t="str">
        <f>HYPERLINK("EM-1.1.1_RRF221_media/BOROS-01_SF-053.jpg")</f>
        <v>EM-1.1.1_RRF221_media/BOROS-01_SF-053.jpg</v>
      </c>
    </row>
    <row r="142" spans="1:13" ht="66.599999999999994" x14ac:dyDescent="0.3">
      <c r="A142" s="107" t="s">
        <v>261</v>
      </c>
      <c r="B142" s="101" t="s">
        <v>17</v>
      </c>
      <c r="C142" s="102" t="s">
        <v>248</v>
      </c>
      <c r="D142" s="102" t="s">
        <v>262</v>
      </c>
      <c r="E142" s="95"/>
      <c r="H142" s="96" t="s">
        <v>558</v>
      </c>
      <c r="I142" s="103"/>
      <c r="J142" s="104"/>
      <c r="K142" s="99">
        <f t="shared" si="2"/>
        <v>1</v>
      </c>
      <c r="M142" s="106" t="str">
        <f>HYPERLINK("EM-1.1.1_RRF221_media/BOROS-01_SF-054.jpg")</f>
        <v>EM-1.1.1_RRF221_media/BOROS-01_SF-054.jpg</v>
      </c>
    </row>
    <row r="143" spans="1:13" ht="66.599999999999994" x14ac:dyDescent="0.3">
      <c r="A143" s="107" t="s">
        <v>263</v>
      </c>
      <c r="B143" s="101" t="s">
        <v>13</v>
      </c>
      <c r="C143" s="102" t="s">
        <v>248</v>
      </c>
      <c r="D143" s="102" t="s">
        <v>264</v>
      </c>
      <c r="E143" s="95"/>
      <c r="H143" s="96" t="s">
        <v>558</v>
      </c>
      <c r="I143" s="96"/>
      <c r="J143" s="108"/>
      <c r="K143" s="99">
        <f t="shared" si="2"/>
        <v>3</v>
      </c>
      <c r="M143" s="106" t="str">
        <f>HYPERLINK("EM-1.1.1_RRF221_media/BOROS-01_2D-027.png")</f>
        <v>EM-1.1.1_RRF221_media/BOROS-01_2D-027.png</v>
      </c>
    </row>
    <row r="144" spans="1:13" ht="66.599999999999994" x14ac:dyDescent="0.3">
      <c r="A144" s="107" t="s">
        <v>265</v>
      </c>
      <c r="B144" s="101" t="s">
        <v>17</v>
      </c>
      <c r="C144" s="102" t="s">
        <v>248</v>
      </c>
      <c r="D144" s="102" t="s">
        <v>266</v>
      </c>
      <c r="E144" s="95"/>
      <c r="H144" s="96" t="s">
        <v>558</v>
      </c>
      <c r="I144" s="103"/>
      <c r="J144" s="104"/>
      <c r="K144" s="99">
        <f t="shared" si="2"/>
        <v>1</v>
      </c>
      <c r="M144" s="106" t="str">
        <f>HYPERLINK("EM-1.1.1_RRF221_media/BOROS-01_SF-055.jpg")</f>
        <v>EM-1.1.1_RRF221_media/BOROS-01_SF-055.jpg</v>
      </c>
    </row>
    <row r="145" spans="1:13" ht="66.599999999999994" x14ac:dyDescent="0.3">
      <c r="A145" s="107" t="s">
        <v>267</v>
      </c>
      <c r="B145" s="101" t="s">
        <v>33</v>
      </c>
      <c r="C145" s="102" t="s">
        <v>248</v>
      </c>
      <c r="D145" s="102" t="s">
        <v>266</v>
      </c>
      <c r="E145" s="95"/>
      <c r="H145" s="96" t="s">
        <v>558</v>
      </c>
      <c r="I145" s="103"/>
      <c r="J145" s="104">
        <v>8</v>
      </c>
      <c r="K145" s="99">
        <f t="shared" si="2"/>
        <v>2</v>
      </c>
      <c r="M145" s="106" t="str">
        <f>HYPERLINK("EM-1.1.1_RRF221_media/BOROS-01_VID-005.mp4")</f>
        <v>EM-1.1.1_RRF221_media/BOROS-01_VID-005.mp4</v>
      </c>
    </row>
    <row r="146" spans="1:13" ht="66.599999999999994" x14ac:dyDescent="0.3">
      <c r="A146" s="107" t="s">
        <v>268</v>
      </c>
      <c r="B146" s="101" t="s">
        <v>17</v>
      </c>
      <c r="C146" s="102" t="s">
        <v>248</v>
      </c>
      <c r="D146" s="102" t="s">
        <v>266</v>
      </c>
      <c r="E146" s="95"/>
      <c r="H146" s="96" t="s">
        <v>558</v>
      </c>
      <c r="I146" s="103"/>
      <c r="J146" s="104"/>
      <c r="K146" s="99">
        <f t="shared" si="2"/>
        <v>1</v>
      </c>
      <c r="M146" s="66" t="str">
        <f>HYPERLINK("EM-1.1.1_RRF221_media/BOROS-01_SF-056.jpg")</f>
        <v>EM-1.1.1_RRF221_media/BOROS-01_SF-056.jpg</v>
      </c>
    </row>
    <row r="147" spans="1:13" ht="66.599999999999994" x14ac:dyDescent="0.3">
      <c r="A147" s="107" t="s">
        <v>269</v>
      </c>
      <c r="B147" s="101" t="s">
        <v>13</v>
      </c>
      <c r="C147" s="102" t="s">
        <v>248</v>
      </c>
      <c r="D147" s="102" t="s">
        <v>266</v>
      </c>
      <c r="E147" s="95"/>
      <c r="H147" s="96" t="s">
        <v>558</v>
      </c>
      <c r="I147" s="103"/>
      <c r="J147" s="104"/>
      <c r="K147" s="99">
        <f t="shared" si="2"/>
        <v>3</v>
      </c>
      <c r="M147" s="106" t="str">
        <f>HYPERLINK("EM-1.1.1_RRF221_media/BOROS-01_VID-005_borito.jpg")</f>
        <v>EM-1.1.1_RRF221_media/BOROS-01_VID-005_borito.jpg</v>
      </c>
    </row>
    <row r="148" spans="1:13" ht="66.599999999999994" x14ac:dyDescent="0.3">
      <c r="A148" s="107" t="s">
        <v>270</v>
      </c>
      <c r="B148" s="101" t="s">
        <v>13</v>
      </c>
      <c r="C148" s="102" t="s">
        <v>248</v>
      </c>
      <c r="D148" s="102" t="s">
        <v>266</v>
      </c>
      <c r="E148" s="95"/>
      <c r="H148" s="96" t="s">
        <v>558</v>
      </c>
      <c r="I148" s="96"/>
      <c r="J148" s="108"/>
      <c r="K148" s="99">
        <f t="shared" si="2"/>
        <v>3</v>
      </c>
      <c r="M148" s="106" t="str">
        <f>HYPERLINK("EM-1.1.1_RRF221_media/BOROS-01_2D-028.png")</f>
        <v>EM-1.1.1_RRF221_media/BOROS-01_2D-028.png</v>
      </c>
    </row>
    <row r="149" spans="1:13" ht="66.599999999999994" x14ac:dyDescent="0.3">
      <c r="A149" s="107" t="s">
        <v>271</v>
      </c>
      <c r="B149" s="101" t="s">
        <v>17</v>
      </c>
      <c r="C149" s="102" t="s">
        <v>248</v>
      </c>
      <c r="D149" s="102" t="s">
        <v>272</v>
      </c>
      <c r="E149" s="95"/>
      <c r="H149" s="96" t="s">
        <v>558</v>
      </c>
      <c r="I149" s="103"/>
      <c r="J149" s="104"/>
      <c r="K149" s="99">
        <f t="shared" si="2"/>
        <v>1</v>
      </c>
      <c r="M149" s="106" t="str">
        <f>HYPERLINK("EM-1.1.1_RRF221_media/BOROS-01_SF-060.jpg")</f>
        <v>EM-1.1.1_RRF221_media/BOROS-01_SF-060.jpg</v>
      </c>
    </row>
    <row r="150" spans="1:13" ht="66.599999999999994" x14ac:dyDescent="0.3">
      <c r="A150" s="107" t="s">
        <v>273</v>
      </c>
      <c r="B150" s="101" t="s">
        <v>17</v>
      </c>
      <c r="C150" s="102" t="s">
        <v>248</v>
      </c>
      <c r="D150" s="102" t="s">
        <v>272</v>
      </c>
      <c r="E150" s="95"/>
      <c r="H150" s="96" t="s">
        <v>558</v>
      </c>
      <c r="I150" s="103"/>
      <c r="J150" s="104"/>
      <c r="K150" s="99">
        <f t="shared" si="2"/>
        <v>1</v>
      </c>
      <c r="M150" s="106" t="str">
        <f>HYPERLINK("EM-1.1.1_RRF221_media/BOROS-01_SF-059.jpg")</f>
        <v>EM-1.1.1_RRF221_media/BOROS-01_SF-059.jpg</v>
      </c>
    </row>
    <row r="151" spans="1:13" ht="66.599999999999994" x14ac:dyDescent="0.3">
      <c r="A151" s="107" t="s">
        <v>274</v>
      </c>
      <c r="B151" s="101" t="s">
        <v>17</v>
      </c>
      <c r="C151" s="102" t="s">
        <v>248</v>
      </c>
      <c r="D151" s="102" t="s">
        <v>272</v>
      </c>
      <c r="E151" s="95"/>
      <c r="H151" s="96" t="s">
        <v>558</v>
      </c>
      <c r="I151" s="103"/>
      <c r="J151" s="104"/>
      <c r="K151" s="99">
        <f t="shared" si="2"/>
        <v>1</v>
      </c>
      <c r="M151" s="106" t="str">
        <f>HYPERLINK("EM-1.1.1_RRF221_media/BOROS-01_SF-057.jpg")</f>
        <v>EM-1.1.1_RRF221_media/BOROS-01_SF-057.jpg</v>
      </c>
    </row>
    <row r="152" spans="1:13" ht="66.599999999999994" x14ac:dyDescent="0.3">
      <c r="A152" s="107" t="s">
        <v>275</v>
      </c>
      <c r="B152" s="101" t="s">
        <v>17</v>
      </c>
      <c r="C152" s="102" t="s">
        <v>248</v>
      </c>
      <c r="D152" s="102" t="s">
        <v>272</v>
      </c>
      <c r="E152" s="95"/>
      <c r="H152" s="96" t="s">
        <v>558</v>
      </c>
      <c r="I152" s="103"/>
      <c r="J152" s="104"/>
      <c r="K152" s="99">
        <f t="shared" si="2"/>
        <v>1</v>
      </c>
      <c r="M152" s="106" t="str">
        <f>HYPERLINK("EM-1.1.1_RRF221_media/BOROS-01_SF-058.jpg")</f>
        <v>EM-1.1.1_RRF221_media/BOROS-01_SF-058.jpg</v>
      </c>
    </row>
    <row r="153" spans="1:13" ht="40.200000000000003" x14ac:dyDescent="0.3">
      <c r="A153" s="107" t="s">
        <v>276</v>
      </c>
      <c r="B153" s="101" t="s">
        <v>17</v>
      </c>
      <c r="C153" s="102" t="s">
        <v>246</v>
      </c>
      <c r="D153" s="102" t="s">
        <v>277</v>
      </c>
      <c r="E153" s="95"/>
      <c r="H153" s="96" t="s">
        <v>558</v>
      </c>
      <c r="I153" s="96"/>
      <c r="J153" s="108"/>
      <c r="K153" s="99">
        <f t="shared" si="2"/>
        <v>1</v>
      </c>
      <c r="M153" s="106" t="str">
        <f>HYPERLINK("EM-1.1.1_RRF221_media/BOROS-01_SF-061.jpg")</f>
        <v>EM-1.1.1_RRF221_media/BOROS-01_SF-061.jpg</v>
      </c>
    </row>
    <row r="154" spans="1:13" ht="40.200000000000003" x14ac:dyDescent="0.3">
      <c r="A154" s="107" t="s">
        <v>278</v>
      </c>
      <c r="B154" s="101" t="s">
        <v>17</v>
      </c>
      <c r="C154" s="102" t="s">
        <v>246</v>
      </c>
      <c r="D154" s="102" t="s">
        <v>277</v>
      </c>
      <c r="E154" s="95"/>
      <c r="H154" s="96" t="s">
        <v>558</v>
      </c>
      <c r="I154" s="103"/>
      <c r="J154" s="104"/>
      <c r="K154" s="99">
        <f t="shared" si="2"/>
        <v>1</v>
      </c>
      <c r="M154" s="66" t="str">
        <f>HYPERLINK("EM-1.1.1_RRF221_media/BOROS-01_SF-063.jpg")</f>
        <v>EM-1.1.1_RRF221_media/BOROS-01_SF-063.jpg</v>
      </c>
    </row>
    <row r="155" spans="1:13" ht="40.200000000000003" x14ac:dyDescent="0.3">
      <c r="A155" s="107" t="s">
        <v>279</v>
      </c>
      <c r="B155" s="101" t="s">
        <v>17</v>
      </c>
      <c r="C155" s="102" t="s">
        <v>246</v>
      </c>
      <c r="D155" s="102" t="s">
        <v>277</v>
      </c>
      <c r="E155" s="95"/>
      <c r="H155" s="96" t="s">
        <v>558</v>
      </c>
      <c r="I155" s="103"/>
      <c r="J155" s="104"/>
      <c r="K155" s="99">
        <f t="shared" si="2"/>
        <v>1</v>
      </c>
      <c r="M155" s="106" t="str">
        <f>HYPERLINK("EM-1.1.1_RRF221_media/BOROS-01_SF-062.jpg")</f>
        <v>EM-1.1.1_RRF221_media/BOROS-01_SF-062.jpg</v>
      </c>
    </row>
    <row r="156" spans="1:13" ht="40.200000000000003" x14ac:dyDescent="0.3">
      <c r="A156" s="107" t="s">
        <v>280</v>
      </c>
      <c r="B156" s="101" t="s">
        <v>17</v>
      </c>
      <c r="C156" s="102" t="s">
        <v>246</v>
      </c>
      <c r="D156" s="102" t="s">
        <v>281</v>
      </c>
      <c r="E156" s="95"/>
      <c r="H156" s="96" t="s">
        <v>558</v>
      </c>
      <c r="I156" s="103"/>
      <c r="J156" s="104"/>
      <c r="K156" s="99">
        <f t="shared" si="2"/>
        <v>1</v>
      </c>
      <c r="M156" s="106" t="str">
        <f>HYPERLINK("EM-1.1.1_RRF221_media/BOROS-01_SF-094.jpg")</f>
        <v>EM-1.1.1_RRF221_media/BOROS-01_SF-094.jpg</v>
      </c>
    </row>
    <row r="157" spans="1:13" ht="40.200000000000003" x14ac:dyDescent="0.3">
      <c r="A157" s="107" t="s">
        <v>282</v>
      </c>
      <c r="B157" s="101" t="s">
        <v>17</v>
      </c>
      <c r="C157" s="102" t="s">
        <v>246</v>
      </c>
      <c r="D157" s="102" t="s">
        <v>281</v>
      </c>
      <c r="E157" s="95"/>
      <c r="H157" s="96" t="s">
        <v>558</v>
      </c>
      <c r="I157" s="103"/>
      <c r="J157" s="104"/>
      <c r="K157" s="99">
        <f t="shared" si="2"/>
        <v>1</v>
      </c>
      <c r="M157" s="66" t="str">
        <f>HYPERLINK("EM-1.1.1_RRF221_media/BOROS-01_SF-065.jpg")</f>
        <v>EM-1.1.1_RRF221_media/BOROS-01_SF-065.jpg</v>
      </c>
    </row>
    <row r="158" spans="1:13" ht="40.200000000000003" x14ac:dyDescent="0.3">
      <c r="A158" s="107" t="s">
        <v>283</v>
      </c>
      <c r="B158" s="101" t="s">
        <v>13</v>
      </c>
      <c r="C158" s="102" t="s">
        <v>246</v>
      </c>
      <c r="D158" s="102" t="s">
        <v>284</v>
      </c>
      <c r="E158" s="95"/>
      <c r="H158" s="96" t="s">
        <v>558</v>
      </c>
      <c r="I158" s="96"/>
      <c r="J158" s="108"/>
      <c r="K158" s="99">
        <f t="shared" si="2"/>
        <v>3</v>
      </c>
      <c r="M158" s="106" t="str">
        <f>HYPERLINK("EM-1.1.1_RRF221_media/BOROS-01_2D-030.png")</f>
        <v>EM-1.1.1_RRF221_media/BOROS-01_2D-030.png</v>
      </c>
    </row>
    <row r="159" spans="1:13" ht="40.200000000000003" x14ac:dyDescent="0.3">
      <c r="A159" s="107" t="s">
        <v>285</v>
      </c>
      <c r="B159" s="101" t="s">
        <v>13</v>
      </c>
      <c r="C159" s="102" t="s">
        <v>246</v>
      </c>
      <c r="D159" s="102" t="s">
        <v>284</v>
      </c>
      <c r="E159" s="95"/>
      <c r="H159" s="96" t="s">
        <v>558</v>
      </c>
      <c r="I159" s="103"/>
      <c r="J159" s="104"/>
      <c r="K159" s="99">
        <f t="shared" si="2"/>
        <v>3</v>
      </c>
      <c r="M159" s="106" t="str">
        <f>HYPERLINK("EM-1.1.1_RRF221_media/BOROS-01_2D-029.png")</f>
        <v>EM-1.1.1_RRF221_media/BOROS-01_2D-029.png</v>
      </c>
    </row>
    <row r="160" spans="1:13" ht="53.4" x14ac:dyDescent="0.3">
      <c r="A160" s="107" t="s">
        <v>286</v>
      </c>
      <c r="B160" s="101" t="s">
        <v>11</v>
      </c>
      <c r="C160" s="102" t="s">
        <v>287</v>
      </c>
      <c r="D160" s="102" t="s">
        <v>74</v>
      </c>
      <c r="E160" s="95"/>
      <c r="H160" s="96" t="s">
        <v>558</v>
      </c>
      <c r="I160" s="103"/>
      <c r="J160" s="104"/>
      <c r="K160" s="99">
        <f t="shared" si="2"/>
        <v>25</v>
      </c>
      <c r="M160" s="106" t="str">
        <f>HYPERLINK("EM-1.1.1_RRF221_media/BOROS-01_2DA-012.png")</f>
        <v>EM-1.1.1_RRF221_media/BOROS-01_2DA-012.png</v>
      </c>
    </row>
    <row r="161" spans="1:13" ht="53.4" x14ac:dyDescent="0.3">
      <c r="A161" s="107" t="s">
        <v>288</v>
      </c>
      <c r="B161" s="101" t="s">
        <v>17</v>
      </c>
      <c r="C161" s="102" t="s">
        <v>287</v>
      </c>
      <c r="D161" s="102" t="s">
        <v>289</v>
      </c>
      <c r="E161" s="95"/>
      <c r="H161" s="96" t="s">
        <v>558</v>
      </c>
      <c r="I161" s="103"/>
      <c r="J161" s="104"/>
      <c r="K161" s="99">
        <f t="shared" si="2"/>
        <v>1</v>
      </c>
      <c r="M161" s="106" t="str">
        <f>HYPERLINK("EM-1.1.1_RRF221_media/BOROS-01_SF-066.jpg")</f>
        <v>EM-1.1.1_RRF221_media/BOROS-01_SF-066.jpg</v>
      </c>
    </row>
    <row r="162" spans="1:13" ht="53.4" x14ac:dyDescent="0.3">
      <c r="A162" s="107" t="s">
        <v>290</v>
      </c>
      <c r="B162" s="101" t="s">
        <v>17</v>
      </c>
      <c r="C162" s="102" t="s">
        <v>287</v>
      </c>
      <c r="D162" s="102" t="s">
        <v>289</v>
      </c>
      <c r="E162" s="95"/>
      <c r="H162" s="96" t="s">
        <v>558</v>
      </c>
      <c r="I162" s="103"/>
      <c r="J162" s="104"/>
      <c r="K162" s="99">
        <f t="shared" si="2"/>
        <v>1</v>
      </c>
      <c r="M162" s="106" t="str">
        <f>HYPERLINK("EM-1.1.1_RRF221_media/BOROS-01_F-014.jpg")</f>
        <v>EM-1.1.1_RRF221_media/BOROS-01_F-014.jpg</v>
      </c>
    </row>
    <row r="163" spans="1:13" ht="53.4" x14ac:dyDescent="0.3">
      <c r="A163" s="107" t="s">
        <v>291</v>
      </c>
      <c r="B163" s="101" t="s">
        <v>17</v>
      </c>
      <c r="C163" s="102" t="s">
        <v>287</v>
      </c>
      <c r="D163" s="102" t="s">
        <v>292</v>
      </c>
      <c r="E163" s="95"/>
      <c r="H163" s="96" t="s">
        <v>558</v>
      </c>
      <c r="I163" s="96"/>
      <c r="J163" s="108"/>
      <c r="K163" s="99">
        <f t="shared" si="2"/>
        <v>1</v>
      </c>
      <c r="M163" s="106" t="str">
        <f>HYPERLINK("EM-1.1.1_RRF221_media/BOROS-01_SF-067.jpg")</f>
        <v>EM-1.1.1_RRF221_media/BOROS-01_SF-067.jpg</v>
      </c>
    </row>
    <row r="164" spans="1:13" ht="53.4" x14ac:dyDescent="0.3">
      <c r="A164" s="107" t="s">
        <v>293</v>
      </c>
      <c r="B164" s="101" t="s">
        <v>17</v>
      </c>
      <c r="C164" s="102" t="s">
        <v>287</v>
      </c>
      <c r="D164" s="102" t="s">
        <v>294</v>
      </c>
      <c r="E164" s="95"/>
      <c r="H164" s="96" t="s">
        <v>558</v>
      </c>
      <c r="I164" s="103"/>
      <c r="J164" s="104"/>
      <c r="K164" s="99">
        <f t="shared" si="2"/>
        <v>1</v>
      </c>
      <c r="M164" s="106" t="str">
        <f>HYPERLINK("EM-1.1.1_RRF221_media/BOROS-01_SF-069.jpg")</f>
        <v>EM-1.1.1_RRF221_media/BOROS-01_SF-069.jpg</v>
      </c>
    </row>
    <row r="165" spans="1:13" ht="53.4" x14ac:dyDescent="0.3">
      <c r="A165" s="107" t="s">
        <v>295</v>
      </c>
      <c r="B165" s="101" t="s">
        <v>17</v>
      </c>
      <c r="C165" s="102" t="s">
        <v>287</v>
      </c>
      <c r="D165" s="102" t="s">
        <v>294</v>
      </c>
      <c r="E165" s="95"/>
      <c r="H165" s="96" t="s">
        <v>558</v>
      </c>
      <c r="I165" s="103"/>
      <c r="J165" s="104"/>
      <c r="K165" s="99">
        <f t="shared" si="2"/>
        <v>1</v>
      </c>
      <c r="M165" s="106" t="str">
        <f>HYPERLINK("EM-1.1.1_RRF221_media/BOROS-01_SF-119.jpg")</f>
        <v>EM-1.1.1_RRF221_media/BOROS-01_SF-119.jpg</v>
      </c>
    </row>
    <row r="166" spans="1:13" ht="53.4" x14ac:dyDescent="0.3">
      <c r="A166" s="107" t="s">
        <v>296</v>
      </c>
      <c r="B166" s="101" t="s">
        <v>17</v>
      </c>
      <c r="C166" s="102" t="s">
        <v>287</v>
      </c>
      <c r="D166" s="102" t="s">
        <v>294</v>
      </c>
      <c r="E166" s="95"/>
      <c r="H166" s="96" t="s">
        <v>558</v>
      </c>
      <c r="I166" s="103"/>
      <c r="J166" s="104"/>
      <c r="K166" s="99">
        <f t="shared" si="2"/>
        <v>1</v>
      </c>
      <c r="M166" s="106" t="str">
        <f>HYPERLINK("EM-1.1.1_RRF221_media/BOROS-01_SF-068.jpg")</f>
        <v>EM-1.1.1_RRF221_media/BOROS-01_SF-068.jpg</v>
      </c>
    </row>
    <row r="167" spans="1:13" ht="53.4" x14ac:dyDescent="0.3">
      <c r="A167" s="107" t="s">
        <v>297</v>
      </c>
      <c r="B167" s="101" t="s">
        <v>17</v>
      </c>
      <c r="C167" s="102" t="s">
        <v>287</v>
      </c>
      <c r="D167" s="102" t="s">
        <v>298</v>
      </c>
      <c r="E167" s="95"/>
      <c r="H167" s="96" t="s">
        <v>558</v>
      </c>
      <c r="I167" s="103"/>
      <c r="J167" s="104"/>
      <c r="K167" s="99">
        <f t="shared" si="2"/>
        <v>1</v>
      </c>
      <c r="M167" s="106" t="str">
        <f>HYPERLINK("EM-1.1.1_RRF221_media/BOROS-01_F-015.jpg")</f>
        <v>EM-1.1.1_RRF221_media/BOROS-01_F-015.jpg</v>
      </c>
    </row>
    <row r="168" spans="1:13" ht="53.4" x14ac:dyDescent="0.3">
      <c r="A168" s="107" t="s">
        <v>299</v>
      </c>
      <c r="B168" s="101" t="s">
        <v>17</v>
      </c>
      <c r="C168" s="102" t="s">
        <v>287</v>
      </c>
      <c r="D168" s="102" t="s">
        <v>300</v>
      </c>
      <c r="E168" s="95"/>
      <c r="H168" s="96" t="s">
        <v>558</v>
      </c>
      <c r="I168" s="96"/>
      <c r="J168" s="108"/>
      <c r="K168" s="99">
        <f t="shared" si="2"/>
        <v>1</v>
      </c>
      <c r="M168" s="106" t="str">
        <f>HYPERLINK("EM-1.1.1_RRF221_media/BOROS-01_SF-071.jpg")</f>
        <v>EM-1.1.1_RRF221_media/BOROS-01_SF-071.jpg</v>
      </c>
    </row>
    <row r="169" spans="1:13" ht="53.4" x14ac:dyDescent="0.3">
      <c r="A169" s="107" t="s">
        <v>301</v>
      </c>
      <c r="B169" s="101" t="s">
        <v>13</v>
      </c>
      <c r="C169" s="102" t="s">
        <v>287</v>
      </c>
      <c r="D169" s="102" t="s">
        <v>300</v>
      </c>
      <c r="E169" s="95"/>
      <c r="H169" s="96" t="s">
        <v>558</v>
      </c>
      <c r="I169" s="103"/>
      <c r="J169" s="104"/>
      <c r="K169" s="99">
        <f t="shared" si="2"/>
        <v>3</v>
      </c>
      <c r="M169" s="66" t="str">
        <f>HYPERLINK("EM-1.1.1_RRF221_media/BOROS-01_2D-031.png")</f>
        <v>EM-1.1.1_RRF221_media/BOROS-01_2D-031.png</v>
      </c>
    </row>
    <row r="170" spans="1:13" ht="53.4" x14ac:dyDescent="0.3">
      <c r="A170" s="107" t="s">
        <v>302</v>
      </c>
      <c r="B170" s="101" t="s">
        <v>13</v>
      </c>
      <c r="C170" s="102" t="s">
        <v>287</v>
      </c>
      <c r="D170" s="102" t="s">
        <v>303</v>
      </c>
      <c r="E170" s="95"/>
      <c r="H170" s="96" t="s">
        <v>558</v>
      </c>
      <c r="I170" s="103"/>
      <c r="J170" s="104"/>
      <c r="K170" s="99">
        <f t="shared" si="2"/>
        <v>3</v>
      </c>
      <c r="M170" s="106" t="str">
        <f>HYPERLINK("EM-1.1.1_RRF221_media/BOROS-01_VID-006_borito.jpg")</f>
        <v>EM-1.1.1_RRF221_media/BOROS-01_VID-006_borito.jpg</v>
      </c>
    </row>
    <row r="171" spans="1:13" ht="53.4" x14ac:dyDescent="0.3">
      <c r="A171" s="107" t="s">
        <v>304</v>
      </c>
      <c r="B171" s="101" t="s">
        <v>33</v>
      </c>
      <c r="C171" s="102" t="s">
        <v>287</v>
      </c>
      <c r="D171" s="102" t="s">
        <v>303</v>
      </c>
      <c r="E171" s="95"/>
      <c r="G171" s="109" t="s">
        <v>560</v>
      </c>
      <c r="H171" s="96" t="s">
        <v>558</v>
      </c>
      <c r="I171" s="103"/>
      <c r="J171" s="104">
        <v>43</v>
      </c>
      <c r="K171" s="99">
        <f t="shared" si="2"/>
        <v>10</v>
      </c>
      <c r="M171" s="106" t="str">
        <f>HYPERLINK("EM-1.1.1_RRF221_media/BOROS-01_VID-006.mp4")</f>
        <v>EM-1.1.1_RRF221_media/BOROS-01_VID-006.mp4</v>
      </c>
    </row>
    <row r="172" spans="1:13" ht="27" x14ac:dyDescent="0.3">
      <c r="A172" s="107" t="s">
        <v>305</v>
      </c>
      <c r="B172" s="101" t="s">
        <v>11</v>
      </c>
      <c r="C172" s="102" t="s">
        <v>306</v>
      </c>
      <c r="D172" s="102" t="s">
        <v>74</v>
      </c>
      <c r="E172" s="95"/>
      <c r="H172" s="96" t="s">
        <v>558</v>
      </c>
      <c r="I172" s="103"/>
      <c r="J172" s="104"/>
      <c r="K172" s="99">
        <f t="shared" si="2"/>
        <v>25</v>
      </c>
      <c r="M172" s="106" t="str">
        <f>HYPERLINK("EM-1.1.1_RRF221_media/BOROS-01_2DA-013.png")</f>
        <v>EM-1.1.1_RRF221_media/BOROS-01_2DA-013.png</v>
      </c>
    </row>
    <row r="173" spans="1:13" ht="40.200000000000003" x14ac:dyDescent="0.3">
      <c r="A173" s="107" t="s">
        <v>307</v>
      </c>
      <c r="B173" s="101" t="s">
        <v>11</v>
      </c>
      <c r="C173" s="102" t="s">
        <v>308</v>
      </c>
      <c r="D173" s="102" t="s">
        <v>74</v>
      </c>
      <c r="E173" s="95"/>
      <c r="H173" s="96" t="s">
        <v>558</v>
      </c>
      <c r="I173" s="96"/>
      <c r="J173" s="108"/>
      <c r="K173" s="99">
        <f t="shared" si="2"/>
        <v>25</v>
      </c>
      <c r="M173" s="106" t="str">
        <f>HYPERLINK("EM-1.1.1_RRF221_media/BOROS-01_2DA-014.png")</f>
        <v>EM-1.1.1_RRF221_media/BOROS-01_2DA-014.png</v>
      </c>
    </row>
    <row r="174" spans="1:13" ht="40.200000000000003" x14ac:dyDescent="0.3">
      <c r="A174" s="107" t="s">
        <v>309</v>
      </c>
      <c r="B174" s="101" t="s">
        <v>13</v>
      </c>
      <c r="C174" s="102" t="s">
        <v>308</v>
      </c>
      <c r="D174" s="102" t="s">
        <v>310</v>
      </c>
      <c r="E174" s="95"/>
      <c r="H174" s="96" t="s">
        <v>558</v>
      </c>
      <c r="I174" s="103"/>
      <c r="J174" s="104"/>
      <c r="K174" s="99">
        <f t="shared" si="2"/>
        <v>3</v>
      </c>
      <c r="M174" s="106" t="str">
        <f>HYPERLINK("EM-1.1.1_RRF221_media/BOROS-01_2D-033_02.png")</f>
        <v>EM-1.1.1_RRF221_media/BOROS-01_2D-033_02.png</v>
      </c>
    </row>
    <row r="175" spans="1:13" ht="40.200000000000003" x14ac:dyDescent="0.3">
      <c r="A175" s="107" t="s">
        <v>311</v>
      </c>
      <c r="B175" s="101" t="s">
        <v>13</v>
      </c>
      <c r="C175" s="102" t="s">
        <v>308</v>
      </c>
      <c r="D175" s="102" t="s">
        <v>310</v>
      </c>
      <c r="E175" s="95"/>
      <c r="H175" s="96" t="s">
        <v>558</v>
      </c>
      <c r="I175" s="103"/>
      <c r="J175" s="104"/>
      <c r="K175" s="99">
        <f t="shared" si="2"/>
        <v>3</v>
      </c>
      <c r="M175" s="106" t="str">
        <f>HYPERLINK("EM-1.1.1_RRF221_media/BOROS-01_2D-032_02.png")</f>
        <v>EM-1.1.1_RRF221_media/BOROS-01_2D-032_02.png</v>
      </c>
    </row>
    <row r="176" spans="1:13" ht="40.200000000000003" x14ac:dyDescent="0.3">
      <c r="A176" s="107" t="s">
        <v>312</v>
      </c>
      <c r="B176" s="101" t="s">
        <v>13</v>
      </c>
      <c r="C176" s="102" t="s">
        <v>308</v>
      </c>
      <c r="D176" s="102" t="s">
        <v>310</v>
      </c>
      <c r="E176" s="95"/>
      <c r="H176" s="96" t="s">
        <v>558</v>
      </c>
      <c r="I176" s="103"/>
      <c r="J176" s="104"/>
      <c r="K176" s="99">
        <f t="shared" si="2"/>
        <v>3</v>
      </c>
      <c r="M176" s="106" t="str">
        <f>HYPERLINK("EM-1.1.1_RRF221_media/BOROS-01_2D-032_01.png")</f>
        <v>EM-1.1.1_RRF221_media/BOROS-01_2D-032_01.png</v>
      </c>
    </row>
    <row r="177" spans="1:13" ht="40.200000000000003" x14ac:dyDescent="0.3">
      <c r="A177" s="107" t="s">
        <v>313</v>
      </c>
      <c r="B177" s="101" t="s">
        <v>13</v>
      </c>
      <c r="C177" s="102" t="s">
        <v>308</v>
      </c>
      <c r="D177" s="102" t="s">
        <v>310</v>
      </c>
      <c r="E177" s="95"/>
      <c r="H177" s="96" t="s">
        <v>558</v>
      </c>
      <c r="I177" s="103"/>
      <c r="J177" s="104"/>
      <c r="K177" s="99">
        <f t="shared" si="2"/>
        <v>3</v>
      </c>
      <c r="M177" s="106" t="str">
        <f>HYPERLINK("EM-1.1.1_RRF221_media/BOROS-01_2D-033_01.png")</f>
        <v>EM-1.1.1_RRF221_media/BOROS-01_2D-033_01.png</v>
      </c>
    </row>
    <row r="178" spans="1:13" ht="40.200000000000003" x14ac:dyDescent="0.3">
      <c r="A178" s="107" t="s">
        <v>314</v>
      </c>
      <c r="B178" s="101" t="s">
        <v>17</v>
      </c>
      <c r="C178" s="102" t="s">
        <v>308</v>
      </c>
      <c r="D178" s="102" t="s">
        <v>315</v>
      </c>
      <c r="E178" s="95"/>
      <c r="H178" s="96" t="s">
        <v>558</v>
      </c>
      <c r="I178" s="96"/>
      <c r="J178" s="108"/>
      <c r="K178" s="99">
        <f t="shared" si="2"/>
        <v>1</v>
      </c>
      <c r="M178" s="106" t="str">
        <f>HYPERLINK("EM-1.1.1_RRF221_media/BOROS-01_SF-072.jpg")</f>
        <v>EM-1.1.1_RRF221_media/BOROS-01_SF-072.jpg</v>
      </c>
    </row>
    <row r="179" spans="1:13" ht="40.200000000000003" x14ac:dyDescent="0.3">
      <c r="A179" s="107" t="s">
        <v>316</v>
      </c>
      <c r="B179" s="101" t="s">
        <v>13</v>
      </c>
      <c r="C179" s="102" t="s">
        <v>308</v>
      </c>
      <c r="D179" s="102" t="s">
        <v>317</v>
      </c>
      <c r="E179" s="95"/>
      <c r="H179" s="96" t="s">
        <v>558</v>
      </c>
      <c r="I179" s="103"/>
      <c r="J179" s="104"/>
      <c r="K179" s="99">
        <f t="shared" si="2"/>
        <v>3</v>
      </c>
      <c r="M179" s="106" t="str">
        <f>HYPERLINK("EM-1.1.1_RRF221_media/BOROS-01_2D-034.png")</f>
        <v>EM-1.1.1_RRF221_media/BOROS-01_2D-034.png</v>
      </c>
    </row>
    <row r="180" spans="1:13" ht="40.200000000000003" x14ac:dyDescent="0.3">
      <c r="A180" s="107" t="s">
        <v>318</v>
      </c>
      <c r="B180" s="101" t="s">
        <v>17</v>
      </c>
      <c r="C180" s="102" t="s">
        <v>308</v>
      </c>
      <c r="D180" s="102" t="s">
        <v>317</v>
      </c>
      <c r="E180" s="95"/>
      <c r="H180" s="96" t="s">
        <v>558</v>
      </c>
      <c r="I180" s="103"/>
      <c r="J180" s="104"/>
      <c r="K180" s="99">
        <f t="shared" si="2"/>
        <v>1</v>
      </c>
      <c r="M180" s="106" t="str">
        <f>HYPERLINK("EM-1.1.1_RRF221_media/BOROS-01_SF-074.jpg")</f>
        <v>EM-1.1.1_RRF221_media/BOROS-01_SF-074.jpg</v>
      </c>
    </row>
    <row r="181" spans="1:13" ht="40.200000000000003" x14ac:dyDescent="0.3">
      <c r="A181" s="107" t="s">
        <v>319</v>
      </c>
      <c r="B181" s="101" t="s">
        <v>17</v>
      </c>
      <c r="C181" s="102" t="s">
        <v>308</v>
      </c>
      <c r="D181" s="102" t="s">
        <v>317</v>
      </c>
      <c r="E181" s="95"/>
      <c r="H181" s="96" t="s">
        <v>558</v>
      </c>
      <c r="I181" s="103"/>
      <c r="J181" s="104"/>
      <c r="K181" s="99">
        <f t="shared" si="2"/>
        <v>1</v>
      </c>
      <c r="M181" s="106" t="str">
        <f>HYPERLINK("EM-1.1.1_RRF221_media/BOROS-01_SF-073.jpg")</f>
        <v>EM-1.1.1_RRF221_media/BOROS-01_SF-073.jpg</v>
      </c>
    </row>
    <row r="182" spans="1:13" ht="40.200000000000003" x14ac:dyDescent="0.3">
      <c r="A182" s="107" t="s">
        <v>320</v>
      </c>
      <c r="B182" s="101" t="s">
        <v>17</v>
      </c>
      <c r="C182" s="102" t="s">
        <v>308</v>
      </c>
      <c r="D182" s="102" t="s">
        <v>321</v>
      </c>
      <c r="E182" s="95"/>
      <c r="H182" s="96" t="s">
        <v>558</v>
      </c>
      <c r="I182" s="103"/>
      <c r="J182" s="104"/>
      <c r="K182" s="99">
        <f t="shared" si="2"/>
        <v>1</v>
      </c>
      <c r="M182" s="106" t="str">
        <f>HYPERLINK("EM-1.1.1_RRF221_media/BOROS-01_SF-078.jpg")</f>
        <v>EM-1.1.1_RRF221_media/BOROS-01_SF-078.jpg</v>
      </c>
    </row>
    <row r="183" spans="1:13" ht="40.200000000000003" x14ac:dyDescent="0.3">
      <c r="A183" s="100" t="s">
        <v>322</v>
      </c>
      <c r="B183" s="101" t="s">
        <v>17</v>
      </c>
      <c r="C183" s="102" t="s">
        <v>308</v>
      </c>
      <c r="D183" s="102" t="s">
        <v>321</v>
      </c>
      <c r="E183" s="95"/>
      <c r="H183" s="96" t="s">
        <v>558</v>
      </c>
      <c r="I183" s="103"/>
      <c r="J183" s="104"/>
      <c r="K183" s="99">
        <f t="shared" si="2"/>
        <v>1</v>
      </c>
      <c r="M183" s="106" t="str">
        <f>HYPERLINK("EM-1.1.1_RRF221_media/BOROS-01_SF-076.jpg")</f>
        <v>EM-1.1.1_RRF221_media/BOROS-01_SF-076.jpg</v>
      </c>
    </row>
    <row r="184" spans="1:13" ht="40.200000000000003" x14ac:dyDescent="0.3">
      <c r="A184" s="100" t="s">
        <v>323</v>
      </c>
      <c r="B184" s="101" t="s">
        <v>17</v>
      </c>
      <c r="C184" s="102" t="s">
        <v>308</v>
      </c>
      <c r="D184" s="102" t="s">
        <v>321</v>
      </c>
      <c r="E184" s="95"/>
      <c r="H184" s="96" t="s">
        <v>558</v>
      </c>
      <c r="I184" s="103"/>
      <c r="J184" s="104"/>
      <c r="K184" s="99">
        <f t="shared" si="2"/>
        <v>1</v>
      </c>
      <c r="M184" s="106" t="str">
        <f>HYPERLINK("EM-1.1.1_RRF221_media/BOROS-01_SF-075.jpg")</f>
        <v>EM-1.1.1_RRF221_media/BOROS-01_SF-075.jpg</v>
      </c>
    </row>
    <row r="185" spans="1:13" ht="40.200000000000003" x14ac:dyDescent="0.3">
      <c r="A185" s="100" t="s">
        <v>324</v>
      </c>
      <c r="B185" s="101" t="s">
        <v>17</v>
      </c>
      <c r="C185" s="102" t="s">
        <v>308</v>
      </c>
      <c r="D185" s="102" t="s">
        <v>321</v>
      </c>
      <c r="E185" s="95"/>
      <c r="H185" s="96" t="s">
        <v>558</v>
      </c>
      <c r="I185" s="103"/>
      <c r="J185" s="104"/>
      <c r="K185" s="99">
        <f t="shared" si="2"/>
        <v>1</v>
      </c>
      <c r="M185" s="106" t="str">
        <f>HYPERLINK("EM-1.1.1_RRF221_media/BOROS-01_SF-077.jpg")</f>
        <v>EM-1.1.1_RRF221_media/BOROS-01_SF-077.jpg</v>
      </c>
    </row>
    <row r="186" spans="1:13" ht="53.4" x14ac:dyDescent="0.3">
      <c r="A186" s="100" t="s">
        <v>325</v>
      </c>
      <c r="B186" s="101" t="s">
        <v>11</v>
      </c>
      <c r="C186" s="102" t="s">
        <v>326</v>
      </c>
      <c r="D186" s="102" t="s">
        <v>74</v>
      </c>
      <c r="E186" s="95"/>
      <c r="H186" s="96" t="s">
        <v>558</v>
      </c>
      <c r="I186" s="103"/>
      <c r="J186" s="104"/>
      <c r="K186" s="99">
        <f t="shared" si="2"/>
        <v>25</v>
      </c>
      <c r="M186" s="106" t="str">
        <f>HYPERLINK("EM-1.1.1_RRF221_media/BOROS-01_2DA-015.png")</f>
        <v>EM-1.1.1_RRF221_media/BOROS-01_2DA-015.png</v>
      </c>
    </row>
    <row r="187" spans="1:13" ht="53.4" x14ac:dyDescent="0.3">
      <c r="A187" s="107" t="s">
        <v>327</v>
      </c>
      <c r="B187" s="101" t="s">
        <v>13</v>
      </c>
      <c r="C187" s="102" t="s">
        <v>326</v>
      </c>
      <c r="D187" s="102" t="s">
        <v>328</v>
      </c>
      <c r="E187" s="95"/>
      <c r="H187" s="96" t="s">
        <v>558</v>
      </c>
      <c r="I187" s="96"/>
      <c r="J187" s="108"/>
      <c r="K187" s="99">
        <f t="shared" si="2"/>
        <v>3</v>
      </c>
      <c r="M187" s="106" t="str">
        <f>HYPERLINK("EM-1.1.1_RRF221_media/BOROS-01_2D-035.png")</f>
        <v>EM-1.1.1_RRF221_media/BOROS-01_2D-035.png</v>
      </c>
    </row>
    <row r="188" spans="1:13" ht="53.4" x14ac:dyDescent="0.3">
      <c r="A188" s="107" t="s">
        <v>329</v>
      </c>
      <c r="B188" s="101" t="s">
        <v>13</v>
      </c>
      <c r="C188" s="102" t="s">
        <v>326</v>
      </c>
      <c r="D188" s="102" t="s">
        <v>330</v>
      </c>
      <c r="E188" s="95"/>
      <c r="H188" s="96" t="s">
        <v>558</v>
      </c>
      <c r="I188" s="103"/>
      <c r="J188" s="104"/>
      <c r="K188" s="99">
        <f t="shared" si="2"/>
        <v>3</v>
      </c>
      <c r="M188" s="106" t="str">
        <f>HYPERLINK("EM-1.1.1_RRF221_media/BOROS-01_2D-036_03.png")</f>
        <v>EM-1.1.1_RRF221_media/BOROS-01_2D-036_03.png</v>
      </c>
    </row>
    <row r="189" spans="1:13" ht="53.4" x14ac:dyDescent="0.3">
      <c r="A189" s="107" t="s">
        <v>331</v>
      </c>
      <c r="B189" s="101" t="s">
        <v>13</v>
      </c>
      <c r="C189" s="102" t="s">
        <v>326</v>
      </c>
      <c r="D189" s="102" t="s">
        <v>330</v>
      </c>
      <c r="E189" s="95"/>
      <c r="H189" s="96" t="s">
        <v>558</v>
      </c>
      <c r="I189" s="103"/>
      <c r="J189" s="104"/>
      <c r="K189" s="99">
        <f t="shared" si="2"/>
        <v>3</v>
      </c>
      <c r="M189" s="106" t="str">
        <f>HYPERLINK("EM-1.1.1_RRF221_media/BOROS-01_2D-036_06.png")</f>
        <v>EM-1.1.1_RRF221_media/BOROS-01_2D-036_06.png</v>
      </c>
    </row>
    <row r="190" spans="1:13" ht="53.4" x14ac:dyDescent="0.3">
      <c r="A190" s="107" t="s">
        <v>332</v>
      </c>
      <c r="B190" s="101" t="s">
        <v>13</v>
      </c>
      <c r="C190" s="102" t="s">
        <v>326</v>
      </c>
      <c r="D190" s="102" t="s">
        <v>330</v>
      </c>
      <c r="E190" s="95"/>
      <c r="H190" s="96" t="s">
        <v>558</v>
      </c>
      <c r="I190" s="103"/>
      <c r="J190" s="104"/>
      <c r="K190" s="99">
        <f t="shared" si="2"/>
        <v>3</v>
      </c>
      <c r="M190" s="106" t="str">
        <f>HYPERLINK("EM-1.1.1_RRF221_media/BOROS-01_2D-036_05.png")</f>
        <v>EM-1.1.1_RRF221_media/BOROS-01_2D-036_05.png</v>
      </c>
    </row>
    <row r="191" spans="1:13" ht="53.4" x14ac:dyDescent="0.3">
      <c r="A191" s="107" t="s">
        <v>333</v>
      </c>
      <c r="B191" s="101" t="s">
        <v>13</v>
      </c>
      <c r="C191" s="102" t="s">
        <v>326</v>
      </c>
      <c r="D191" s="102" t="s">
        <v>330</v>
      </c>
      <c r="E191" s="95"/>
      <c r="H191" s="96" t="s">
        <v>558</v>
      </c>
      <c r="I191" s="103"/>
      <c r="J191" s="104"/>
      <c r="K191" s="99">
        <f t="shared" si="2"/>
        <v>3</v>
      </c>
      <c r="M191" s="106" t="str">
        <f>HYPERLINK("EM-1.1.1_RRF221_media/BOROS-01_2D-036_08.png")</f>
        <v>EM-1.1.1_RRF221_media/BOROS-01_2D-036_08.png</v>
      </c>
    </row>
    <row r="192" spans="1:13" ht="53.4" x14ac:dyDescent="0.3">
      <c r="A192" s="107" t="s">
        <v>334</v>
      </c>
      <c r="B192" s="101" t="s">
        <v>13</v>
      </c>
      <c r="C192" s="102" t="s">
        <v>326</v>
      </c>
      <c r="D192" s="102" t="s">
        <v>330</v>
      </c>
      <c r="E192" s="95"/>
      <c r="H192" s="96" t="s">
        <v>558</v>
      </c>
      <c r="I192" s="96"/>
      <c r="J192" s="108"/>
      <c r="K192" s="99">
        <f t="shared" si="2"/>
        <v>3</v>
      </c>
      <c r="M192" s="106" t="str">
        <f>HYPERLINK("EM-1.1.1_RRF221_media/BOROS-01_2D-036_13.png")</f>
        <v>EM-1.1.1_RRF221_media/BOROS-01_2D-036_13.png</v>
      </c>
    </row>
    <row r="193" spans="1:13" ht="53.4" x14ac:dyDescent="0.3">
      <c r="A193" s="107" t="s">
        <v>335</v>
      </c>
      <c r="B193" s="101" t="s">
        <v>13</v>
      </c>
      <c r="C193" s="102" t="s">
        <v>326</v>
      </c>
      <c r="D193" s="102" t="s">
        <v>330</v>
      </c>
      <c r="E193" s="95"/>
      <c r="H193" s="96" t="s">
        <v>558</v>
      </c>
      <c r="I193" s="103"/>
      <c r="J193" s="104"/>
      <c r="K193" s="99">
        <f t="shared" si="2"/>
        <v>3</v>
      </c>
      <c r="M193" s="106" t="str">
        <f>HYPERLINK("EM-1.1.1_RRF221_media/BOROS-01_2D-036_11.png")</f>
        <v>EM-1.1.1_RRF221_media/BOROS-01_2D-036_11.png</v>
      </c>
    </row>
    <row r="194" spans="1:13" ht="53.4" x14ac:dyDescent="0.3">
      <c r="A194" s="107" t="s">
        <v>336</v>
      </c>
      <c r="B194" s="101" t="s">
        <v>13</v>
      </c>
      <c r="C194" s="102" t="s">
        <v>326</v>
      </c>
      <c r="D194" s="102" t="s">
        <v>330</v>
      </c>
      <c r="E194" s="95"/>
      <c r="H194" s="96" t="s">
        <v>558</v>
      </c>
      <c r="I194" s="103"/>
      <c r="J194" s="104"/>
      <c r="K194" s="99">
        <f t="shared" si="2"/>
        <v>3</v>
      </c>
      <c r="M194" s="106" t="str">
        <f>HYPERLINK("EM-1.1.1_RRF221_media/BOROS-01_2D-036_10.png")</f>
        <v>EM-1.1.1_RRF221_media/BOROS-01_2D-036_10.png</v>
      </c>
    </row>
    <row r="195" spans="1:13" ht="53.4" x14ac:dyDescent="0.3">
      <c r="A195" s="107" t="s">
        <v>337</v>
      </c>
      <c r="B195" s="101" t="s">
        <v>13</v>
      </c>
      <c r="C195" s="102" t="s">
        <v>326</v>
      </c>
      <c r="D195" s="102" t="s">
        <v>330</v>
      </c>
      <c r="E195" s="95"/>
      <c r="H195" s="96" t="s">
        <v>558</v>
      </c>
      <c r="I195" s="103"/>
      <c r="J195" s="104"/>
      <c r="K195" s="99">
        <f t="shared" si="2"/>
        <v>3</v>
      </c>
      <c r="M195" s="106" t="str">
        <f>HYPERLINK("EM-1.1.1_RRF221_media/BOROS-01_2D-036_12.png")</f>
        <v>EM-1.1.1_RRF221_media/BOROS-01_2D-036_12.png</v>
      </c>
    </row>
    <row r="196" spans="1:13" ht="53.4" x14ac:dyDescent="0.3">
      <c r="A196" s="107" t="s">
        <v>338</v>
      </c>
      <c r="B196" s="101" t="s">
        <v>13</v>
      </c>
      <c r="C196" s="102" t="s">
        <v>326</v>
      </c>
      <c r="D196" s="102" t="s">
        <v>330</v>
      </c>
      <c r="E196" s="95"/>
      <c r="H196" s="96" t="s">
        <v>558</v>
      </c>
      <c r="I196" s="103"/>
      <c r="J196" s="104"/>
      <c r="K196" s="99">
        <f t="shared" si="2"/>
        <v>3</v>
      </c>
      <c r="M196" s="106" t="str">
        <f>HYPERLINK("EM-1.1.1_RRF221_media/BOROS-01_2D-036_04.png")</f>
        <v>EM-1.1.1_RRF221_media/BOROS-01_2D-036_04.png</v>
      </c>
    </row>
    <row r="197" spans="1:13" ht="53.4" x14ac:dyDescent="0.3">
      <c r="A197" s="107" t="s">
        <v>339</v>
      </c>
      <c r="B197" s="101" t="s">
        <v>13</v>
      </c>
      <c r="C197" s="102" t="s">
        <v>326</v>
      </c>
      <c r="D197" s="102" t="s">
        <v>330</v>
      </c>
      <c r="E197" s="95"/>
      <c r="H197" s="96" t="s">
        <v>558</v>
      </c>
      <c r="I197" s="96"/>
      <c r="J197" s="108"/>
      <c r="K197" s="99">
        <f t="shared" ref="K197:K260" si="3">IF(H197 ="x",IF(B197="Fotó", 1,IF(B197 = "2D grafika", 3, IF(B197 = "3D grafika", 8, IF(B197 ="2D animáció", IF(J197&lt;=10, 25, IF(J197&lt;=20, 28, IF(J197&lt;=30, 31, IF(J197&lt;=40, 34, IF(J197&lt;=50, 37, 37 + ROUNDUP((J197-50)/10, 0)*3))))),IF(B197="3D animáció", IF(J197&lt;=10, 40, IF(J197&lt;=20, 48, IF(J197&lt;=30, 56, IF(J197&lt;=40, 64, IF(J197&lt;=50, 72, 72 + ROUNDUP((J197-50)/10, 0)*8))))), IF(B197="Videó egyszereplős", ROUNDUP(J197/10,0)*2, IF(B197 ="Videó egyszereplős narrációval", ROUNDUP(J197/10,0)*3, IF(B197="Videó többszereplős", ROUNDUP(J197/10,0)*2, IF(B197 ="Videó többszereplős narrációval", ROUNDUP(J197/10,0)*4, IF(B197 ="Hangzóanyag", ROUNDUP(J197/10,0)*1, IF(B197="Interaktív animáció (szimuláció)",13,0))))))))))),0)</f>
        <v>3</v>
      </c>
      <c r="M197" s="106" t="str">
        <f>HYPERLINK("EM-1.1.1_RRF221_media/BOROS-01_2D-036_01.png")</f>
        <v>EM-1.1.1_RRF221_media/BOROS-01_2D-036_01.png</v>
      </c>
    </row>
    <row r="198" spans="1:13" ht="53.4" x14ac:dyDescent="0.3">
      <c r="A198" s="107" t="s">
        <v>340</v>
      </c>
      <c r="B198" s="101" t="s">
        <v>13</v>
      </c>
      <c r="C198" s="102" t="s">
        <v>326</v>
      </c>
      <c r="D198" s="102" t="s">
        <v>330</v>
      </c>
      <c r="E198" s="95"/>
      <c r="H198" s="96" t="s">
        <v>558</v>
      </c>
      <c r="I198" s="103"/>
      <c r="J198" s="104"/>
      <c r="K198" s="99">
        <f t="shared" si="3"/>
        <v>3</v>
      </c>
      <c r="M198" s="106" t="str">
        <f>HYPERLINK("EM-1.1.1_RRF221_media/BOROS-01_2D-036_14.png")</f>
        <v>EM-1.1.1_RRF221_media/BOROS-01_2D-036_14.png</v>
      </c>
    </row>
    <row r="199" spans="1:13" ht="53.4" x14ac:dyDescent="0.3">
      <c r="A199" s="107" t="s">
        <v>341</v>
      </c>
      <c r="B199" s="101" t="s">
        <v>13</v>
      </c>
      <c r="C199" s="102" t="s">
        <v>326</v>
      </c>
      <c r="D199" s="102" t="s">
        <v>330</v>
      </c>
      <c r="E199" s="95"/>
      <c r="H199" s="96" t="s">
        <v>558</v>
      </c>
      <c r="I199" s="103"/>
      <c r="J199" s="104"/>
      <c r="K199" s="99">
        <f t="shared" si="3"/>
        <v>3</v>
      </c>
      <c r="M199" s="106" t="str">
        <f>HYPERLINK("EM-1.1.1_RRF221_media/BOROS-01_2D-036_07.png")</f>
        <v>EM-1.1.1_RRF221_media/BOROS-01_2D-036_07.png</v>
      </c>
    </row>
    <row r="200" spans="1:13" ht="53.4" x14ac:dyDescent="0.3">
      <c r="A200" s="107" t="s">
        <v>342</v>
      </c>
      <c r="B200" s="101" t="s">
        <v>13</v>
      </c>
      <c r="C200" s="102" t="s">
        <v>326</v>
      </c>
      <c r="D200" s="102" t="s">
        <v>330</v>
      </c>
      <c r="E200" s="95"/>
      <c r="H200" s="96" t="s">
        <v>558</v>
      </c>
      <c r="I200" s="103"/>
      <c r="J200" s="104"/>
      <c r="K200" s="99">
        <f t="shared" si="3"/>
        <v>3</v>
      </c>
      <c r="M200" s="106" t="str">
        <f>HYPERLINK("EM-1.1.1_RRF221_media/BOROS-01_2D-036_02.png")</f>
        <v>EM-1.1.1_RRF221_media/BOROS-01_2D-036_02.png</v>
      </c>
    </row>
    <row r="201" spans="1:13" ht="53.4" x14ac:dyDescent="0.3">
      <c r="A201" s="107" t="s">
        <v>343</v>
      </c>
      <c r="B201" s="101" t="s">
        <v>13</v>
      </c>
      <c r="C201" s="102" t="s">
        <v>326</v>
      </c>
      <c r="D201" s="102" t="s">
        <v>330</v>
      </c>
      <c r="E201" s="95"/>
      <c r="H201" s="96" t="s">
        <v>558</v>
      </c>
      <c r="I201" s="103"/>
      <c r="J201" s="104"/>
      <c r="K201" s="99">
        <f t="shared" si="3"/>
        <v>3</v>
      </c>
      <c r="M201" s="106" t="str">
        <f>HYPERLINK("EM-1.1.1_RRF221_media/BOROS-01_2D-036_09.png")</f>
        <v>EM-1.1.1_RRF221_media/BOROS-01_2D-036_09.png</v>
      </c>
    </row>
    <row r="202" spans="1:13" ht="53.4" x14ac:dyDescent="0.3">
      <c r="A202" s="107" t="s">
        <v>344</v>
      </c>
      <c r="B202" s="101" t="s">
        <v>17</v>
      </c>
      <c r="C202" s="102" t="s">
        <v>326</v>
      </c>
      <c r="D202" s="102" t="s">
        <v>345</v>
      </c>
      <c r="E202" s="95"/>
      <c r="H202" s="96" t="s">
        <v>558</v>
      </c>
      <c r="I202" s="96"/>
      <c r="J202" s="108"/>
      <c r="K202" s="99">
        <f t="shared" si="3"/>
        <v>1</v>
      </c>
      <c r="M202" s="106" t="str">
        <f>HYPERLINK("EM-1.1.1_RRF221_media/BOROS-01_SF-079.jpg")</f>
        <v>EM-1.1.1_RRF221_media/BOROS-01_SF-079.jpg</v>
      </c>
    </row>
    <row r="203" spans="1:13" ht="53.4" x14ac:dyDescent="0.3">
      <c r="A203" s="107" t="s">
        <v>346</v>
      </c>
      <c r="B203" s="101" t="s">
        <v>17</v>
      </c>
      <c r="C203" s="102" t="s">
        <v>326</v>
      </c>
      <c r="D203" s="102" t="s">
        <v>347</v>
      </c>
      <c r="E203" s="95"/>
      <c r="H203" s="96" t="s">
        <v>558</v>
      </c>
      <c r="I203" s="103"/>
      <c r="J203" s="104"/>
      <c r="K203" s="99">
        <f t="shared" si="3"/>
        <v>1</v>
      </c>
      <c r="M203" s="106" t="str">
        <f>HYPERLINK("EM-1.1.1_RRF221_media/BOROS-01_SF-081.jpg")</f>
        <v>EM-1.1.1_RRF221_media/BOROS-01_SF-081.jpg</v>
      </c>
    </row>
    <row r="204" spans="1:13" ht="53.4" x14ac:dyDescent="0.3">
      <c r="A204" s="107" t="s">
        <v>348</v>
      </c>
      <c r="B204" s="101" t="s">
        <v>17</v>
      </c>
      <c r="C204" s="102" t="s">
        <v>326</v>
      </c>
      <c r="D204" s="102" t="s">
        <v>349</v>
      </c>
      <c r="E204" s="95"/>
      <c r="H204" s="96" t="s">
        <v>558</v>
      </c>
      <c r="I204" s="103"/>
      <c r="J204" s="104"/>
      <c r="K204" s="99">
        <f t="shared" si="3"/>
        <v>1</v>
      </c>
      <c r="M204" s="106" t="str">
        <f>HYPERLINK("EM-1.1.1_RRF221_media/BOROS-01_SF-082.jpg")</f>
        <v>EM-1.1.1_RRF221_media/BOROS-01_SF-082.jpg</v>
      </c>
    </row>
    <row r="205" spans="1:13" ht="53.4" x14ac:dyDescent="0.3">
      <c r="A205" s="107" t="s">
        <v>350</v>
      </c>
      <c r="B205" s="101" t="s">
        <v>17</v>
      </c>
      <c r="C205" s="102" t="s">
        <v>326</v>
      </c>
      <c r="D205" s="102" t="s">
        <v>351</v>
      </c>
      <c r="E205" s="95"/>
      <c r="H205" s="96" t="s">
        <v>558</v>
      </c>
      <c r="I205" s="103"/>
      <c r="J205" s="104"/>
      <c r="K205" s="99">
        <f t="shared" si="3"/>
        <v>1</v>
      </c>
      <c r="M205" s="66" t="str">
        <f>HYPERLINK("EM-1.1.1_RRF221_media/BOROS-01_SF-083.jpg")</f>
        <v>EM-1.1.1_RRF221_media/BOROS-01_SF-083.jpg</v>
      </c>
    </row>
    <row r="206" spans="1:13" ht="53.4" x14ac:dyDescent="0.3">
      <c r="A206" s="107" t="s">
        <v>352</v>
      </c>
      <c r="B206" s="101" t="s">
        <v>13</v>
      </c>
      <c r="C206" s="102" t="s">
        <v>326</v>
      </c>
      <c r="D206" s="102" t="s">
        <v>353</v>
      </c>
      <c r="E206" s="95"/>
      <c r="H206" s="96" t="s">
        <v>558</v>
      </c>
      <c r="I206" s="103"/>
      <c r="J206" s="104"/>
      <c r="K206" s="99">
        <f t="shared" si="3"/>
        <v>3</v>
      </c>
      <c r="M206" s="106" t="str">
        <f>HYPERLINK("EM-1.1.1_RRF221_media/BOROS-01_2D-037_05.png")</f>
        <v>EM-1.1.1_RRF221_media/BOROS-01_2D-037_05.png</v>
      </c>
    </row>
    <row r="207" spans="1:13" ht="53.4" x14ac:dyDescent="0.3">
      <c r="A207" s="107" t="s">
        <v>354</v>
      </c>
      <c r="B207" s="101" t="s">
        <v>13</v>
      </c>
      <c r="C207" s="102" t="s">
        <v>326</v>
      </c>
      <c r="D207" s="102" t="s">
        <v>353</v>
      </c>
      <c r="E207" s="95"/>
      <c r="H207" s="96" t="s">
        <v>558</v>
      </c>
      <c r="I207" s="96"/>
      <c r="J207" s="108"/>
      <c r="K207" s="99">
        <f t="shared" si="3"/>
        <v>3</v>
      </c>
      <c r="M207" s="106" t="str">
        <f>HYPERLINK("EM-1.1.1_RRF221_media/BOROS-01_2D-037_02.png")</f>
        <v>EM-1.1.1_RRF221_media/BOROS-01_2D-037_02.png</v>
      </c>
    </row>
    <row r="208" spans="1:13" ht="53.4" x14ac:dyDescent="0.3">
      <c r="A208" s="107" t="s">
        <v>355</v>
      </c>
      <c r="B208" s="101" t="s">
        <v>13</v>
      </c>
      <c r="C208" s="102" t="s">
        <v>326</v>
      </c>
      <c r="D208" s="102" t="s">
        <v>353</v>
      </c>
      <c r="E208" s="95"/>
      <c r="H208" s="96" t="s">
        <v>558</v>
      </c>
      <c r="I208" s="103"/>
      <c r="J208" s="104"/>
      <c r="K208" s="99">
        <f t="shared" si="3"/>
        <v>3</v>
      </c>
      <c r="M208" s="106" t="str">
        <f>HYPERLINK("EM-1.1.1_RRF221_media/BOROS-01_2D-037_01.png")</f>
        <v>EM-1.1.1_RRF221_media/BOROS-01_2D-037_01.png</v>
      </c>
    </row>
    <row r="209" spans="1:13" ht="53.4" x14ac:dyDescent="0.3">
      <c r="A209" s="107" t="s">
        <v>356</v>
      </c>
      <c r="B209" s="101" t="s">
        <v>13</v>
      </c>
      <c r="C209" s="102" t="s">
        <v>326</v>
      </c>
      <c r="D209" s="102" t="s">
        <v>353</v>
      </c>
      <c r="E209" s="95"/>
      <c r="H209" s="96" t="s">
        <v>558</v>
      </c>
      <c r="I209" s="103"/>
      <c r="J209" s="104"/>
      <c r="K209" s="99">
        <f t="shared" si="3"/>
        <v>3</v>
      </c>
      <c r="M209" s="106" t="str">
        <f>HYPERLINK("EM-1.1.1_RRF221_media/BOROS-01_2D-037_03.png")</f>
        <v>EM-1.1.1_RRF221_media/BOROS-01_2D-037_03.png</v>
      </c>
    </row>
    <row r="210" spans="1:13" ht="53.4" x14ac:dyDescent="0.3">
      <c r="A210" s="107" t="s">
        <v>357</v>
      </c>
      <c r="B210" s="101" t="s">
        <v>13</v>
      </c>
      <c r="C210" s="102" t="s">
        <v>326</v>
      </c>
      <c r="D210" s="102" t="s">
        <v>353</v>
      </c>
      <c r="E210" s="95"/>
      <c r="H210" s="96" t="s">
        <v>558</v>
      </c>
      <c r="I210" s="103"/>
      <c r="J210" s="104"/>
      <c r="K210" s="99">
        <f t="shared" si="3"/>
        <v>3</v>
      </c>
      <c r="M210" s="106" t="str">
        <f>HYPERLINK("EM-1.1.1_RRF221_media/BOROS-01_2D-037_04.png")</f>
        <v>EM-1.1.1_RRF221_media/BOROS-01_2D-037_04.png</v>
      </c>
    </row>
    <row r="211" spans="1:13" ht="53.4" x14ac:dyDescent="0.3">
      <c r="A211" s="107" t="s">
        <v>358</v>
      </c>
      <c r="B211" s="101" t="s">
        <v>13</v>
      </c>
      <c r="C211" s="102" t="s">
        <v>326</v>
      </c>
      <c r="D211" s="102" t="s">
        <v>353</v>
      </c>
      <c r="E211" s="95"/>
      <c r="H211" s="96" t="s">
        <v>558</v>
      </c>
      <c r="I211" s="103"/>
      <c r="J211" s="104"/>
      <c r="K211" s="99">
        <f t="shared" si="3"/>
        <v>3</v>
      </c>
      <c r="M211" s="106" t="str">
        <f>HYPERLINK("EM-1.1.1_RRF221_media/BOROS-01_2D-037_06.png")</f>
        <v>EM-1.1.1_RRF221_media/BOROS-01_2D-037_06.png</v>
      </c>
    </row>
    <row r="212" spans="1:13" ht="53.4" x14ac:dyDescent="0.3">
      <c r="A212" s="107" t="s">
        <v>359</v>
      </c>
      <c r="B212" s="101" t="s">
        <v>17</v>
      </c>
      <c r="C212" s="102" t="s">
        <v>326</v>
      </c>
      <c r="D212" s="102" t="s">
        <v>360</v>
      </c>
      <c r="E212" s="95"/>
      <c r="H212" s="96" t="s">
        <v>558</v>
      </c>
      <c r="I212" s="96"/>
      <c r="J212" s="108"/>
      <c r="K212" s="99">
        <f t="shared" si="3"/>
        <v>1</v>
      </c>
      <c r="M212" s="106" t="str">
        <f>HYPERLINK("EM-1.1.1_RRF221_media/BOROS-01_SF-084.jpg")</f>
        <v>EM-1.1.1_RRF221_media/BOROS-01_SF-084.jpg</v>
      </c>
    </row>
    <row r="213" spans="1:13" ht="53.4" x14ac:dyDescent="0.3">
      <c r="A213" s="107" t="s">
        <v>361</v>
      </c>
      <c r="B213" s="101" t="s">
        <v>17</v>
      </c>
      <c r="C213" s="102" t="s">
        <v>326</v>
      </c>
      <c r="D213" s="102" t="s">
        <v>362</v>
      </c>
      <c r="E213" s="95"/>
      <c r="H213" s="96" t="s">
        <v>558</v>
      </c>
      <c r="I213" s="103"/>
      <c r="J213" s="104"/>
      <c r="K213" s="99">
        <f t="shared" si="3"/>
        <v>1</v>
      </c>
      <c r="M213" s="106" t="str">
        <f>HYPERLINK("EM-1.1.1_RRF221_media/BOROS-01_SF-085.jpg")</f>
        <v>EM-1.1.1_RRF221_media/BOROS-01_SF-085.jpg</v>
      </c>
    </row>
    <row r="214" spans="1:13" ht="53.4" x14ac:dyDescent="0.3">
      <c r="A214" s="107" t="s">
        <v>363</v>
      </c>
      <c r="B214" s="101" t="s">
        <v>13</v>
      </c>
      <c r="C214" s="102" t="s">
        <v>326</v>
      </c>
      <c r="D214" s="102" t="s">
        <v>364</v>
      </c>
      <c r="E214" s="95"/>
      <c r="H214" s="96" t="s">
        <v>558</v>
      </c>
      <c r="I214" s="103"/>
      <c r="J214" s="104"/>
      <c r="K214" s="99">
        <f t="shared" si="3"/>
        <v>3</v>
      </c>
      <c r="M214" s="106" t="str">
        <f>HYPERLINK("EM-1.1.1_RRF221_media/BOROS-01_2D-038_03.png")</f>
        <v>EM-1.1.1_RRF221_media/BOROS-01_2D-038_03.png</v>
      </c>
    </row>
    <row r="215" spans="1:13" ht="53.4" x14ac:dyDescent="0.3">
      <c r="A215" s="107" t="s">
        <v>365</v>
      </c>
      <c r="B215" s="101" t="s">
        <v>13</v>
      </c>
      <c r="C215" s="102" t="s">
        <v>326</v>
      </c>
      <c r="D215" s="102" t="s">
        <v>364</v>
      </c>
      <c r="E215" s="95"/>
      <c r="H215" s="96" t="s">
        <v>558</v>
      </c>
      <c r="I215" s="103"/>
      <c r="J215" s="104"/>
      <c r="K215" s="99">
        <f t="shared" si="3"/>
        <v>3</v>
      </c>
      <c r="M215" s="106" t="str">
        <f>HYPERLINK("EM-1.1.1_RRF221_media/BOROS-01_2D-038_06.png")</f>
        <v>EM-1.1.1_RRF221_media/BOROS-01_2D-038_06.png</v>
      </c>
    </row>
    <row r="216" spans="1:13" ht="53.4" x14ac:dyDescent="0.3">
      <c r="A216" s="107" t="s">
        <v>366</v>
      </c>
      <c r="B216" s="101" t="s">
        <v>13</v>
      </c>
      <c r="C216" s="102" t="s">
        <v>326</v>
      </c>
      <c r="D216" s="102" t="s">
        <v>364</v>
      </c>
      <c r="E216" s="95"/>
      <c r="H216" s="96" t="s">
        <v>558</v>
      </c>
      <c r="I216" s="103"/>
      <c r="J216" s="104"/>
      <c r="K216" s="99">
        <f t="shared" si="3"/>
        <v>3</v>
      </c>
      <c r="M216" s="106" t="str">
        <f>HYPERLINK("EM-1.1.1_RRF221_media/BOROS-01_2D-038_04.png")</f>
        <v>EM-1.1.1_RRF221_media/BOROS-01_2D-038_04.png</v>
      </c>
    </row>
    <row r="217" spans="1:13" ht="53.4" x14ac:dyDescent="0.3">
      <c r="A217" s="107" t="s">
        <v>367</v>
      </c>
      <c r="B217" s="101" t="s">
        <v>13</v>
      </c>
      <c r="C217" s="102" t="s">
        <v>326</v>
      </c>
      <c r="D217" s="102" t="s">
        <v>364</v>
      </c>
      <c r="E217" s="95"/>
      <c r="H217" s="96" t="s">
        <v>558</v>
      </c>
      <c r="I217" s="96"/>
      <c r="J217" s="108"/>
      <c r="K217" s="99">
        <f t="shared" si="3"/>
        <v>3</v>
      </c>
      <c r="M217" s="106" t="str">
        <f>HYPERLINK("EM-1.1.1_RRF221_media/BOROS-01_2D-038_05.png")</f>
        <v>EM-1.1.1_RRF221_media/BOROS-01_2D-038_05.png</v>
      </c>
    </row>
    <row r="218" spans="1:13" ht="53.4" x14ac:dyDescent="0.3">
      <c r="A218" s="107" t="s">
        <v>368</v>
      </c>
      <c r="B218" s="101" t="s">
        <v>13</v>
      </c>
      <c r="C218" s="102" t="s">
        <v>326</v>
      </c>
      <c r="D218" s="102" t="s">
        <v>364</v>
      </c>
      <c r="E218" s="95"/>
      <c r="H218" s="96" t="s">
        <v>558</v>
      </c>
      <c r="I218" s="103"/>
      <c r="J218" s="104"/>
      <c r="K218" s="99">
        <f t="shared" si="3"/>
        <v>3</v>
      </c>
      <c r="M218" s="106" t="str">
        <f>HYPERLINK("EM-1.1.1_RRF221_media/BOROS-01_2D-038_02.png")</f>
        <v>EM-1.1.1_RRF221_media/BOROS-01_2D-038_02.png</v>
      </c>
    </row>
    <row r="219" spans="1:13" ht="53.4" x14ac:dyDescent="0.3">
      <c r="A219" s="107" t="s">
        <v>369</v>
      </c>
      <c r="B219" s="101" t="s">
        <v>13</v>
      </c>
      <c r="C219" s="102" t="s">
        <v>326</v>
      </c>
      <c r="D219" s="102" t="s">
        <v>364</v>
      </c>
      <c r="E219" s="95"/>
      <c r="H219" s="96" t="s">
        <v>558</v>
      </c>
      <c r="I219" s="103"/>
      <c r="J219" s="104"/>
      <c r="K219" s="99">
        <f t="shared" si="3"/>
        <v>3</v>
      </c>
      <c r="M219" s="106" t="str">
        <f>HYPERLINK("EM-1.1.1_RRF221_media/BOROS-01_2D-038_07.png")</f>
        <v>EM-1.1.1_RRF221_media/BOROS-01_2D-038_07.png</v>
      </c>
    </row>
    <row r="220" spans="1:13" ht="53.4" x14ac:dyDescent="0.3">
      <c r="A220" s="107" t="s">
        <v>370</v>
      </c>
      <c r="B220" s="101" t="s">
        <v>13</v>
      </c>
      <c r="C220" s="102" t="s">
        <v>326</v>
      </c>
      <c r="D220" s="102" t="s">
        <v>364</v>
      </c>
      <c r="E220" s="95"/>
      <c r="H220" s="96" t="s">
        <v>558</v>
      </c>
      <c r="I220" s="103"/>
      <c r="J220" s="104"/>
      <c r="K220" s="99">
        <f t="shared" si="3"/>
        <v>3</v>
      </c>
      <c r="M220" s="106" t="str">
        <f>HYPERLINK("EM-1.1.1_RRF221_media/BOROS-01_2D-038_08.png")</f>
        <v>EM-1.1.1_RRF221_media/BOROS-01_2D-038_08.png</v>
      </c>
    </row>
    <row r="221" spans="1:13" ht="53.4" x14ac:dyDescent="0.3">
      <c r="A221" s="107" t="s">
        <v>371</v>
      </c>
      <c r="B221" s="101" t="s">
        <v>13</v>
      </c>
      <c r="C221" s="102" t="s">
        <v>326</v>
      </c>
      <c r="D221" s="102" t="s">
        <v>364</v>
      </c>
      <c r="E221" s="95"/>
      <c r="H221" s="96" t="s">
        <v>558</v>
      </c>
      <c r="I221" s="103"/>
      <c r="J221" s="104"/>
      <c r="K221" s="99">
        <f t="shared" si="3"/>
        <v>3</v>
      </c>
      <c r="M221" s="106" t="str">
        <f>HYPERLINK("EM-1.1.1_RRF221_media/BOROS-01_2D-038_01.png")</f>
        <v>EM-1.1.1_RRF221_media/BOROS-01_2D-038_01.png</v>
      </c>
    </row>
    <row r="222" spans="1:13" ht="53.4" x14ac:dyDescent="0.3">
      <c r="A222" s="107" t="s">
        <v>372</v>
      </c>
      <c r="B222" s="101" t="s">
        <v>17</v>
      </c>
      <c r="C222" s="102" t="s">
        <v>326</v>
      </c>
      <c r="D222" s="102" t="s">
        <v>373</v>
      </c>
      <c r="E222" s="95"/>
      <c r="H222" s="96" t="s">
        <v>558</v>
      </c>
      <c r="I222" s="96"/>
      <c r="J222" s="108"/>
      <c r="K222" s="99">
        <f t="shared" si="3"/>
        <v>1</v>
      </c>
      <c r="M222" s="106" t="str">
        <f>HYPERLINK("EM-1.1.1_RRF221_media/BOROS-01_SF-091.jpg")</f>
        <v>EM-1.1.1_RRF221_media/BOROS-01_SF-091.jpg</v>
      </c>
    </row>
    <row r="223" spans="1:13" ht="53.4" x14ac:dyDescent="0.3">
      <c r="A223" s="107" t="s">
        <v>374</v>
      </c>
      <c r="B223" s="101" t="s">
        <v>17</v>
      </c>
      <c r="C223" s="102" t="s">
        <v>326</v>
      </c>
      <c r="D223" s="102" t="s">
        <v>373</v>
      </c>
      <c r="E223" s="95"/>
      <c r="H223" s="96" t="s">
        <v>558</v>
      </c>
      <c r="I223" s="103"/>
      <c r="J223" s="104"/>
      <c r="K223" s="99">
        <f t="shared" si="3"/>
        <v>1</v>
      </c>
      <c r="M223" s="106" t="str">
        <f>HYPERLINK("EM-1.1.1_RRF221_media/BOROS-01_SF-089.jpg")</f>
        <v>EM-1.1.1_RRF221_media/BOROS-01_SF-089.jpg</v>
      </c>
    </row>
    <row r="224" spans="1:13" ht="53.4" x14ac:dyDescent="0.3">
      <c r="A224" s="107" t="s">
        <v>375</v>
      </c>
      <c r="B224" s="101" t="s">
        <v>17</v>
      </c>
      <c r="C224" s="102" t="s">
        <v>326</v>
      </c>
      <c r="D224" s="102" t="s">
        <v>373</v>
      </c>
      <c r="E224" s="95"/>
      <c r="H224" s="96" t="s">
        <v>558</v>
      </c>
      <c r="I224" s="103"/>
      <c r="J224" s="104"/>
      <c r="K224" s="99">
        <f t="shared" si="3"/>
        <v>1</v>
      </c>
      <c r="M224" s="106" t="str">
        <f>HYPERLINK("EM-1.1.1_RRF221_media/BOROS-01_SF-088.jpg")</f>
        <v>EM-1.1.1_RRF221_media/BOROS-01_SF-088.jpg</v>
      </c>
    </row>
    <row r="225" spans="1:13" ht="53.4" x14ac:dyDescent="0.3">
      <c r="A225" s="107" t="s">
        <v>376</v>
      </c>
      <c r="B225" s="101" t="s">
        <v>17</v>
      </c>
      <c r="C225" s="102" t="s">
        <v>326</v>
      </c>
      <c r="D225" s="102" t="s">
        <v>373</v>
      </c>
      <c r="E225" s="95"/>
      <c r="H225" s="96" t="s">
        <v>558</v>
      </c>
      <c r="I225" s="103"/>
      <c r="J225" s="104"/>
      <c r="K225" s="99">
        <f t="shared" si="3"/>
        <v>1</v>
      </c>
      <c r="M225" s="106" t="str">
        <f>HYPERLINK("EM-1.1.1_RRF221_media/BOROS-01_SF-087.jpg")</f>
        <v>EM-1.1.1_RRF221_media/BOROS-01_SF-087.jpg</v>
      </c>
    </row>
    <row r="226" spans="1:13" ht="53.4" x14ac:dyDescent="0.3">
      <c r="A226" s="107" t="s">
        <v>377</v>
      </c>
      <c r="B226" s="101" t="s">
        <v>17</v>
      </c>
      <c r="C226" s="102" t="s">
        <v>326</v>
      </c>
      <c r="D226" s="102" t="s">
        <v>373</v>
      </c>
      <c r="E226" s="95"/>
      <c r="H226" s="96" t="s">
        <v>558</v>
      </c>
      <c r="I226" s="103"/>
      <c r="J226" s="104"/>
      <c r="K226" s="99">
        <f t="shared" si="3"/>
        <v>1</v>
      </c>
      <c r="M226" s="106" t="str">
        <f>HYPERLINK("EM-1.1.1_RRF221_media/BOROS-01_SF-090.jpg")</f>
        <v>EM-1.1.1_RRF221_media/BOROS-01_SF-090.jpg</v>
      </c>
    </row>
    <row r="227" spans="1:13" ht="53.4" x14ac:dyDescent="0.3">
      <c r="A227" s="107" t="s">
        <v>378</v>
      </c>
      <c r="B227" s="101" t="s">
        <v>17</v>
      </c>
      <c r="C227" s="102" t="s">
        <v>326</v>
      </c>
      <c r="D227" s="102" t="s">
        <v>379</v>
      </c>
      <c r="E227" s="95"/>
      <c r="H227" s="96" t="s">
        <v>558</v>
      </c>
      <c r="I227" s="96"/>
      <c r="J227" s="108"/>
      <c r="K227" s="99">
        <f t="shared" si="3"/>
        <v>1</v>
      </c>
      <c r="M227" s="106" t="str">
        <f>HYPERLINK("EM-1.1.1_RRF221_media/BOROS-01_SF-092.jpg")</f>
        <v>EM-1.1.1_RRF221_media/BOROS-01_SF-092.jpg</v>
      </c>
    </row>
    <row r="228" spans="1:13" ht="53.4" x14ac:dyDescent="0.3">
      <c r="A228" s="107" t="s">
        <v>380</v>
      </c>
      <c r="B228" s="101" t="s">
        <v>13</v>
      </c>
      <c r="C228" s="102" t="s">
        <v>326</v>
      </c>
      <c r="D228" s="102" t="s">
        <v>381</v>
      </c>
      <c r="E228" s="95"/>
      <c r="H228" s="96" t="s">
        <v>558</v>
      </c>
      <c r="I228" s="103"/>
      <c r="J228" s="104"/>
      <c r="K228" s="99">
        <f t="shared" si="3"/>
        <v>3</v>
      </c>
      <c r="M228" s="106" t="str">
        <f>HYPERLINK("EM-1.1.1_RRF221_media/BOROS-01_2D-039.png")</f>
        <v>EM-1.1.1_RRF221_media/BOROS-01_2D-039.png</v>
      </c>
    </row>
    <row r="229" spans="1:13" ht="53.4" x14ac:dyDescent="0.3">
      <c r="A229" s="107" t="s">
        <v>382</v>
      </c>
      <c r="B229" s="101" t="s">
        <v>13</v>
      </c>
      <c r="C229" s="102" t="s">
        <v>326</v>
      </c>
      <c r="D229" s="102" t="s">
        <v>383</v>
      </c>
      <c r="E229" s="95"/>
      <c r="H229" s="96" t="s">
        <v>558</v>
      </c>
      <c r="I229" s="103"/>
      <c r="J229" s="104"/>
      <c r="K229" s="99">
        <f t="shared" si="3"/>
        <v>3</v>
      </c>
      <c r="M229" s="106" t="str">
        <f>HYPERLINK("EM-1.1.1_RRF221_media/BOROS-01_2D-040.png")</f>
        <v>EM-1.1.1_RRF221_media/BOROS-01_2D-040.png</v>
      </c>
    </row>
    <row r="230" spans="1:13" ht="40.200000000000003" x14ac:dyDescent="0.3">
      <c r="A230" s="107" t="s">
        <v>384</v>
      </c>
      <c r="B230" s="101" t="s">
        <v>11</v>
      </c>
      <c r="C230" s="102" t="s">
        <v>385</v>
      </c>
      <c r="D230" s="102" t="s">
        <v>74</v>
      </c>
      <c r="E230" s="95"/>
      <c r="H230" s="96" t="s">
        <v>558</v>
      </c>
      <c r="I230" s="103"/>
      <c r="J230" s="104"/>
      <c r="K230" s="99">
        <f t="shared" si="3"/>
        <v>25</v>
      </c>
      <c r="M230" s="106" t="str">
        <f>HYPERLINK("EM-1.1.1_RRF221_media/BOROS-01_2DA-016.png")</f>
        <v>EM-1.1.1_RRF221_media/BOROS-01_2DA-016.png</v>
      </c>
    </row>
    <row r="231" spans="1:13" ht="40.200000000000003" x14ac:dyDescent="0.3">
      <c r="A231" s="107" t="s">
        <v>386</v>
      </c>
      <c r="B231" s="101" t="s">
        <v>17</v>
      </c>
      <c r="C231" s="102" t="s">
        <v>385</v>
      </c>
      <c r="D231" s="102" t="s">
        <v>387</v>
      </c>
      <c r="E231" s="95"/>
      <c r="H231" s="96" t="s">
        <v>558</v>
      </c>
      <c r="I231" s="103"/>
      <c r="J231" s="104"/>
      <c r="K231" s="99">
        <f t="shared" si="3"/>
        <v>1</v>
      </c>
      <c r="M231" s="106" t="str">
        <f>HYPERLINK("EM-1.1.1_RRF221_media/BOROS-01_SF-095.jpg")</f>
        <v>EM-1.1.1_RRF221_media/BOROS-01_SF-095.jpg</v>
      </c>
    </row>
    <row r="232" spans="1:13" ht="40.200000000000003" x14ac:dyDescent="0.3">
      <c r="A232" s="107" t="s">
        <v>388</v>
      </c>
      <c r="B232" s="101" t="s">
        <v>17</v>
      </c>
      <c r="C232" s="102" t="s">
        <v>385</v>
      </c>
      <c r="D232" s="102" t="s">
        <v>387</v>
      </c>
      <c r="E232" s="95"/>
      <c r="G232" s="109" t="s">
        <v>561</v>
      </c>
      <c r="H232" s="96" t="s">
        <v>558</v>
      </c>
      <c r="I232" s="103"/>
      <c r="J232" s="104"/>
      <c r="K232" s="99">
        <f t="shared" si="3"/>
        <v>1</v>
      </c>
      <c r="M232" s="106" t="str">
        <f>HYPERLINK("EM-1.1.1_RRF221_media/BOROS-01_SF-093.jpg")</f>
        <v>EM-1.1.1_RRF221_media/BOROS-01_SF-093.jpg</v>
      </c>
    </row>
    <row r="233" spans="1:13" ht="40.200000000000003" x14ac:dyDescent="0.3">
      <c r="A233" s="107" t="s">
        <v>389</v>
      </c>
      <c r="B233" s="101" t="s">
        <v>13</v>
      </c>
      <c r="C233" s="102" t="s">
        <v>385</v>
      </c>
      <c r="D233" s="102" t="s">
        <v>390</v>
      </c>
      <c r="E233" s="95"/>
      <c r="H233" s="96" t="s">
        <v>558</v>
      </c>
      <c r="I233" s="103"/>
      <c r="J233" s="104"/>
      <c r="K233" s="99">
        <f t="shared" si="3"/>
        <v>3</v>
      </c>
      <c r="M233" s="106" t="str">
        <f>HYPERLINK("EM-1.1.1_RRF221_media/BOROS-01_2D-041_10.png")</f>
        <v>EM-1.1.1_RRF221_media/BOROS-01_2D-041_10.png</v>
      </c>
    </row>
    <row r="234" spans="1:13" ht="40.200000000000003" x14ac:dyDescent="0.3">
      <c r="A234" s="107" t="s">
        <v>391</v>
      </c>
      <c r="B234" s="101" t="s">
        <v>13</v>
      </c>
      <c r="C234" s="102" t="s">
        <v>385</v>
      </c>
      <c r="D234" s="102" t="s">
        <v>390</v>
      </c>
      <c r="E234" s="95"/>
      <c r="H234" s="96" t="s">
        <v>558</v>
      </c>
      <c r="I234" s="103"/>
      <c r="J234" s="104"/>
      <c r="K234" s="99">
        <f t="shared" si="3"/>
        <v>3</v>
      </c>
      <c r="M234" s="106" t="str">
        <f>HYPERLINK("EM-1.1.1_RRF221_media/BOROS-01_2D-041_12.png")</f>
        <v>EM-1.1.1_RRF221_media/BOROS-01_2D-041_12.png</v>
      </c>
    </row>
    <row r="235" spans="1:13" ht="40.200000000000003" x14ac:dyDescent="0.3">
      <c r="A235" s="107" t="s">
        <v>392</v>
      </c>
      <c r="B235" s="101" t="s">
        <v>13</v>
      </c>
      <c r="C235" s="102" t="s">
        <v>385</v>
      </c>
      <c r="D235" s="102" t="s">
        <v>390</v>
      </c>
      <c r="E235" s="95"/>
      <c r="H235" s="96" t="s">
        <v>558</v>
      </c>
      <c r="I235" s="103"/>
      <c r="J235" s="104"/>
      <c r="K235" s="99">
        <f t="shared" si="3"/>
        <v>3</v>
      </c>
      <c r="M235" s="106" t="str">
        <f>HYPERLINK("EM-1.1.1_RRF221_media/BOROS-01_2D-041_03.png")</f>
        <v>EM-1.1.1_RRF221_media/BOROS-01_2D-041_03.png</v>
      </c>
    </row>
    <row r="236" spans="1:13" ht="40.200000000000003" x14ac:dyDescent="0.3">
      <c r="A236" s="107" t="s">
        <v>393</v>
      </c>
      <c r="B236" s="101" t="s">
        <v>13</v>
      </c>
      <c r="C236" s="102" t="s">
        <v>385</v>
      </c>
      <c r="D236" s="102" t="s">
        <v>390</v>
      </c>
      <c r="E236" s="95"/>
      <c r="H236" s="96" t="s">
        <v>558</v>
      </c>
      <c r="I236" s="103"/>
      <c r="J236" s="104"/>
      <c r="K236" s="99">
        <f t="shared" si="3"/>
        <v>3</v>
      </c>
      <c r="M236" s="106" t="str">
        <f>HYPERLINK("EM-1.1.1_RRF221_media/BOROS-01_2D-041_04.png")</f>
        <v>EM-1.1.1_RRF221_media/BOROS-01_2D-041_04.png</v>
      </c>
    </row>
    <row r="237" spans="1:13" ht="40.200000000000003" x14ac:dyDescent="0.3">
      <c r="A237" s="107" t="s">
        <v>394</v>
      </c>
      <c r="B237" s="101" t="s">
        <v>13</v>
      </c>
      <c r="C237" s="102" t="s">
        <v>385</v>
      </c>
      <c r="D237" s="102" t="s">
        <v>390</v>
      </c>
      <c r="E237" s="95"/>
      <c r="H237" s="96" t="s">
        <v>558</v>
      </c>
      <c r="I237" s="96"/>
      <c r="J237" s="108"/>
      <c r="K237" s="99">
        <f t="shared" si="3"/>
        <v>3</v>
      </c>
      <c r="M237" s="106" t="str">
        <f>HYPERLINK("EM-1.1.1_RRF221_media/BOROS-01_2D-041_09.png")</f>
        <v>EM-1.1.1_RRF221_media/BOROS-01_2D-041_09.png</v>
      </c>
    </row>
    <row r="238" spans="1:13" ht="40.200000000000003" x14ac:dyDescent="0.3">
      <c r="A238" s="107" t="s">
        <v>395</v>
      </c>
      <c r="B238" s="101" t="s">
        <v>13</v>
      </c>
      <c r="C238" s="102" t="s">
        <v>385</v>
      </c>
      <c r="D238" s="102" t="s">
        <v>390</v>
      </c>
      <c r="E238" s="95"/>
      <c r="H238" s="96" t="s">
        <v>558</v>
      </c>
      <c r="I238" s="103"/>
      <c r="J238" s="104"/>
      <c r="K238" s="99">
        <f t="shared" si="3"/>
        <v>3</v>
      </c>
      <c r="M238" s="106" t="str">
        <f>HYPERLINK("EM-1.1.1_RRF221_media/BOROS-01_2D-041_13.png")</f>
        <v>EM-1.1.1_RRF221_media/BOROS-01_2D-041_13.png</v>
      </c>
    </row>
    <row r="239" spans="1:13" ht="40.200000000000003" x14ac:dyDescent="0.3">
      <c r="A239" s="107" t="s">
        <v>396</v>
      </c>
      <c r="B239" s="101" t="s">
        <v>13</v>
      </c>
      <c r="C239" s="102" t="s">
        <v>385</v>
      </c>
      <c r="D239" s="102" t="s">
        <v>390</v>
      </c>
      <c r="E239" s="95"/>
      <c r="H239" s="96" t="s">
        <v>558</v>
      </c>
      <c r="I239" s="103"/>
      <c r="J239" s="104"/>
      <c r="K239" s="99">
        <f t="shared" si="3"/>
        <v>3</v>
      </c>
      <c r="M239" s="106" t="str">
        <f>HYPERLINK("EM-1.1.1_RRF221_media/BOROS-01_2D-041_06.png")</f>
        <v>EM-1.1.1_RRF221_media/BOROS-01_2D-041_06.png</v>
      </c>
    </row>
    <row r="240" spans="1:13" ht="40.200000000000003" x14ac:dyDescent="0.3">
      <c r="A240" s="107" t="s">
        <v>397</v>
      </c>
      <c r="B240" s="101" t="s">
        <v>13</v>
      </c>
      <c r="C240" s="102" t="s">
        <v>385</v>
      </c>
      <c r="D240" s="102" t="s">
        <v>390</v>
      </c>
      <c r="E240" s="95"/>
      <c r="H240" s="96" t="s">
        <v>558</v>
      </c>
      <c r="I240" s="103"/>
      <c r="J240" s="104"/>
      <c r="K240" s="99">
        <f t="shared" si="3"/>
        <v>3</v>
      </c>
      <c r="M240" s="106" t="str">
        <f>HYPERLINK("EM-1.1.1_RRF221_media/BOROS-01_2D-041_11.png")</f>
        <v>EM-1.1.1_RRF221_media/BOROS-01_2D-041_11.png</v>
      </c>
    </row>
    <row r="241" spans="1:13" ht="40.200000000000003" x14ac:dyDescent="0.3">
      <c r="A241" s="107" t="s">
        <v>398</v>
      </c>
      <c r="B241" s="101" t="s">
        <v>13</v>
      </c>
      <c r="C241" s="102" t="s">
        <v>385</v>
      </c>
      <c r="D241" s="102" t="s">
        <v>390</v>
      </c>
      <c r="E241" s="95"/>
      <c r="H241" s="96" t="s">
        <v>558</v>
      </c>
      <c r="I241" s="103"/>
      <c r="J241" s="104"/>
      <c r="K241" s="99">
        <f t="shared" si="3"/>
        <v>3</v>
      </c>
      <c r="M241" s="106" t="str">
        <f>HYPERLINK("EM-1.1.1_RRF221_media/BOROS-01_2D-041_01.png")</f>
        <v>EM-1.1.1_RRF221_media/BOROS-01_2D-041_01.png</v>
      </c>
    </row>
    <row r="242" spans="1:13" ht="40.200000000000003" x14ac:dyDescent="0.3">
      <c r="A242" s="100" t="s">
        <v>399</v>
      </c>
      <c r="B242" s="101" t="s">
        <v>13</v>
      </c>
      <c r="C242" s="102" t="s">
        <v>385</v>
      </c>
      <c r="D242" s="102" t="s">
        <v>390</v>
      </c>
      <c r="E242" s="95"/>
      <c r="H242" s="96" t="s">
        <v>558</v>
      </c>
      <c r="I242" s="103"/>
      <c r="J242" s="104"/>
      <c r="K242" s="99">
        <f t="shared" si="3"/>
        <v>3</v>
      </c>
      <c r="M242" s="106" t="str">
        <f>HYPERLINK("EM-1.1.1_RRF221_media/BOROS-01_2D-041_02.png")</f>
        <v>EM-1.1.1_RRF221_media/BOROS-01_2D-041_02.png</v>
      </c>
    </row>
    <row r="243" spans="1:13" ht="40.200000000000003" x14ac:dyDescent="0.3">
      <c r="A243" s="100" t="s">
        <v>400</v>
      </c>
      <c r="B243" s="101" t="s">
        <v>13</v>
      </c>
      <c r="C243" s="102" t="s">
        <v>385</v>
      </c>
      <c r="D243" s="102" t="s">
        <v>390</v>
      </c>
      <c r="E243" s="95"/>
      <c r="H243" s="96" t="s">
        <v>558</v>
      </c>
      <c r="I243" s="103"/>
      <c r="J243" s="104"/>
      <c r="K243" s="99">
        <f t="shared" si="3"/>
        <v>3</v>
      </c>
      <c r="M243" s="106" t="str">
        <f>HYPERLINK("EM-1.1.1_RRF221_media/BOROS-01_2D-041_08.png")</f>
        <v>EM-1.1.1_RRF221_media/BOROS-01_2D-041_08.png</v>
      </c>
    </row>
    <row r="244" spans="1:13" ht="40.200000000000003" x14ac:dyDescent="0.3">
      <c r="A244" s="100" t="s">
        <v>401</v>
      </c>
      <c r="B244" s="101" t="s">
        <v>13</v>
      </c>
      <c r="C244" s="102" t="s">
        <v>385</v>
      </c>
      <c r="D244" s="102" t="s">
        <v>390</v>
      </c>
      <c r="E244" s="95"/>
      <c r="H244" s="96" t="s">
        <v>558</v>
      </c>
      <c r="I244" s="103"/>
      <c r="J244" s="104"/>
      <c r="K244" s="99">
        <f t="shared" si="3"/>
        <v>3</v>
      </c>
      <c r="M244" s="106" t="str">
        <f>HYPERLINK("EM-1.1.1_RRF221_media/BOROS-01_2D-041_07.png")</f>
        <v>EM-1.1.1_RRF221_media/BOROS-01_2D-041_07.png</v>
      </c>
    </row>
    <row r="245" spans="1:13" ht="40.200000000000003" x14ac:dyDescent="0.3">
      <c r="A245" s="100" t="s">
        <v>402</v>
      </c>
      <c r="B245" s="101" t="s">
        <v>13</v>
      </c>
      <c r="C245" s="102" t="s">
        <v>385</v>
      </c>
      <c r="D245" s="102" t="s">
        <v>390</v>
      </c>
      <c r="E245" s="95"/>
      <c r="H245" s="96" t="s">
        <v>558</v>
      </c>
      <c r="I245" s="103"/>
      <c r="J245" s="104"/>
      <c r="K245" s="99">
        <f t="shared" si="3"/>
        <v>3</v>
      </c>
      <c r="M245" s="106" t="str">
        <f>HYPERLINK("EM-1.1.1_RRF221_media/BOROS-01_2D-041_05.png")</f>
        <v>EM-1.1.1_RRF221_media/BOROS-01_2D-041_05.png</v>
      </c>
    </row>
    <row r="246" spans="1:13" ht="40.200000000000003" x14ac:dyDescent="0.3">
      <c r="A246" s="107" t="s">
        <v>403</v>
      </c>
      <c r="B246" s="101" t="s">
        <v>17</v>
      </c>
      <c r="C246" s="102" t="s">
        <v>385</v>
      </c>
      <c r="D246" s="102" t="s">
        <v>404</v>
      </c>
      <c r="E246" s="95"/>
      <c r="H246" s="96" t="s">
        <v>558</v>
      </c>
      <c r="I246" s="96"/>
      <c r="J246" s="108"/>
      <c r="K246" s="99">
        <f t="shared" si="3"/>
        <v>1</v>
      </c>
      <c r="M246" s="106" t="str">
        <f>HYPERLINK("EM-1.1.1_RRF221_media/BOROS-01_SF-096.jpg")</f>
        <v>EM-1.1.1_RRF221_media/BOROS-01_SF-096.jpg</v>
      </c>
    </row>
    <row r="247" spans="1:13" ht="40.200000000000003" x14ac:dyDescent="0.3">
      <c r="A247" s="107" t="s">
        <v>405</v>
      </c>
      <c r="B247" s="101" t="s">
        <v>17</v>
      </c>
      <c r="C247" s="102" t="s">
        <v>385</v>
      </c>
      <c r="D247" s="102" t="s">
        <v>404</v>
      </c>
      <c r="E247" s="95"/>
      <c r="H247" s="96" t="s">
        <v>558</v>
      </c>
      <c r="I247" s="103"/>
      <c r="J247" s="104"/>
      <c r="K247" s="99">
        <f t="shared" si="3"/>
        <v>1</v>
      </c>
      <c r="M247" s="106" t="str">
        <f>HYPERLINK("EM-1.1.1_RRF221_media/BOROS-01_SF-097.jpg")</f>
        <v>EM-1.1.1_RRF221_media/BOROS-01_SF-097.jpg</v>
      </c>
    </row>
    <row r="248" spans="1:13" ht="40.200000000000003" x14ac:dyDescent="0.3">
      <c r="A248" s="107" t="s">
        <v>406</v>
      </c>
      <c r="B248" s="101" t="s">
        <v>17</v>
      </c>
      <c r="C248" s="102" t="s">
        <v>308</v>
      </c>
      <c r="D248" s="102" t="s">
        <v>407</v>
      </c>
      <c r="E248" s="95"/>
      <c r="H248" s="96" t="s">
        <v>558</v>
      </c>
      <c r="I248" s="103"/>
      <c r="J248" s="104"/>
      <c r="K248" s="99">
        <f t="shared" si="3"/>
        <v>1</v>
      </c>
      <c r="M248" s="106" t="str">
        <f>HYPERLINK("EM-1.1.1_RRF221_media/BOROS-01_SF-099.jpg")</f>
        <v>EM-1.1.1_RRF221_media/BOROS-01_SF-099.jpg</v>
      </c>
    </row>
    <row r="249" spans="1:13" ht="40.200000000000003" x14ac:dyDescent="0.3">
      <c r="A249" s="107" t="s">
        <v>408</v>
      </c>
      <c r="B249" s="101" t="s">
        <v>13</v>
      </c>
      <c r="C249" s="102" t="s">
        <v>308</v>
      </c>
      <c r="D249" s="102" t="s">
        <v>407</v>
      </c>
      <c r="E249" s="95"/>
      <c r="H249" s="96" t="s">
        <v>558</v>
      </c>
      <c r="I249" s="103"/>
      <c r="J249" s="104"/>
      <c r="K249" s="99">
        <f t="shared" si="3"/>
        <v>3</v>
      </c>
      <c r="M249" s="106" t="str">
        <f>HYPERLINK("EM-1.1.1_RRF221_media/BOROS-01_2D-042.png")</f>
        <v>EM-1.1.1_RRF221_media/BOROS-01_2D-042.png</v>
      </c>
    </row>
    <row r="250" spans="1:13" ht="40.200000000000003" x14ac:dyDescent="0.3">
      <c r="A250" s="107" t="s">
        <v>409</v>
      </c>
      <c r="B250" s="101" t="s">
        <v>17</v>
      </c>
      <c r="C250" s="102" t="s">
        <v>308</v>
      </c>
      <c r="D250" s="102" t="s">
        <v>407</v>
      </c>
      <c r="E250" s="95"/>
      <c r="H250" s="96" t="s">
        <v>558</v>
      </c>
      <c r="I250" s="103"/>
      <c r="J250" s="104"/>
      <c r="K250" s="99">
        <f t="shared" si="3"/>
        <v>1</v>
      </c>
      <c r="M250" s="106" t="str">
        <f>HYPERLINK("EM-1.1.1_RRF221_media/BOROS-01_SF-098.jpg")</f>
        <v>EM-1.1.1_RRF221_media/BOROS-01_SF-098.jpg</v>
      </c>
    </row>
    <row r="251" spans="1:13" ht="53.4" x14ac:dyDescent="0.3">
      <c r="A251" s="107" t="s">
        <v>410</v>
      </c>
      <c r="B251" s="101" t="s">
        <v>11</v>
      </c>
      <c r="C251" s="102" t="s">
        <v>411</v>
      </c>
      <c r="D251" s="102" t="s">
        <v>74</v>
      </c>
      <c r="E251" s="95"/>
      <c r="H251" s="96" t="s">
        <v>558</v>
      </c>
      <c r="I251" s="96"/>
      <c r="J251" s="108"/>
      <c r="K251" s="99">
        <f t="shared" si="3"/>
        <v>25</v>
      </c>
      <c r="M251" s="106" t="str">
        <f>HYPERLINK("EM-1.1.1_RRF221_media/BOROS-01_2DA-017.png")</f>
        <v>EM-1.1.1_RRF221_media/BOROS-01_2DA-017.png</v>
      </c>
    </row>
    <row r="252" spans="1:13" ht="53.4" x14ac:dyDescent="0.3">
      <c r="A252" s="107" t="s">
        <v>412</v>
      </c>
      <c r="B252" s="101" t="s">
        <v>17</v>
      </c>
      <c r="C252" s="102" t="s">
        <v>411</v>
      </c>
      <c r="D252" s="102" t="s">
        <v>413</v>
      </c>
      <c r="E252" s="95"/>
      <c r="H252" s="96" t="s">
        <v>558</v>
      </c>
      <c r="I252" s="103"/>
      <c r="J252" s="104"/>
      <c r="K252" s="99">
        <f t="shared" si="3"/>
        <v>1</v>
      </c>
      <c r="M252" s="106" t="str">
        <f>HYPERLINK("EM-1.1.1_RRF221_media/BOROS-01_SF-100.jpg")</f>
        <v>EM-1.1.1_RRF221_media/BOROS-01_SF-100.jpg</v>
      </c>
    </row>
    <row r="253" spans="1:13" ht="53.4" x14ac:dyDescent="0.3">
      <c r="A253" s="107" t="s">
        <v>414</v>
      </c>
      <c r="B253" s="101" t="s">
        <v>17</v>
      </c>
      <c r="C253" s="102" t="s">
        <v>411</v>
      </c>
      <c r="D253" s="102" t="s">
        <v>415</v>
      </c>
      <c r="E253" s="95"/>
      <c r="H253" s="96" t="s">
        <v>558</v>
      </c>
      <c r="I253" s="103"/>
      <c r="J253" s="104"/>
      <c r="K253" s="99">
        <f t="shared" si="3"/>
        <v>1</v>
      </c>
      <c r="M253" s="106" t="str">
        <f>HYPERLINK("EM-1.1.1_RRF221_media/BOROS-01_SF-102.jpg")</f>
        <v>EM-1.1.1_RRF221_media/BOROS-01_SF-102.jpg</v>
      </c>
    </row>
    <row r="254" spans="1:13" ht="53.4" x14ac:dyDescent="0.3">
      <c r="A254" s="107" t="s">
        <v>416</v>
      </c>
      <c r="B254" s="101" t="s">
        <v>17</v>
      </c>
      <c r="C254" s="102" t="s">
        <v>411</v>
      </c>
      <c r="D254" s="102" t="s">
        <v>415</v>
      </c>
      <c r="E254" s="95"/>
      <c r="H254" s="96" t="s">
        <v>558</v>
      </c>
      <c r="I254" s="103"/>
      <c r="J254" s="104"/>
      <c r="K254" s="99">
        <f t="shared" si="3"/>
        <v>1</v>
      </c>
      <c r="M254" s="106" t="str">
        <f>HYPERLINK("EM-1.1.1_RRF221_media/BOROS-01_SF-101.jpg")</f>
        <v>EM-1.1.1_RRF221_media/BOROS-01_SF-101.jpg</v>
      </c>
    </row>
    <row r="255" spans="1:13" ht="53.4" x14ac:dyDescent="0.3">
      <c r="A255" s="107" t="s">
        <v>417</v>
      </c>
      <c r="B255" s="101" t="s">
        <v>13</v>
      </c>
      <c r="C255" s="102" t="s">
        <v>411</v>
      </c>
      <c r="D255" s="102" t="s">
        <v>418</v>
      </c>
      <c r="E255" s="95"/>
      <c r="H255" s="96" t="s">
        <v>558</v>
      </c>
      <c r="I255" s="103"/>
      <c r="J255" s="104"/>
      <c r="K255" s="99">
        <f t="shared" si="3"/>
        <v>3</v>
      </c>
      <c r="M255" s="106" t="str">
        <f>HYPERLINK("EM-1.1.1_RRF221_media/BOROS-01_2D-043.png")</f>
        <v>EM-1.1.1_RRF221_media/BOROS-01_2D-043.png</v>
      </c>
    </row>
    <row r="256" spans="1:13" ht="40.200000000000003" x14ac:dyDescent="0.3">
      <c r="A256" s="107" t="s">
        <v>419</v>
      </c>
      <c r="B256" s="101" t="s">
        <v>11</v>
      </c>
      <c r="C256" s="102" t="s">
        <v>420</v>
      </c>
      <c r="D256" s="102" t="s">
        <v>74</v>
      </c>
      <c r="E256" s="95"/>
      <c r="H256" s="96" t="s">
        <v>558</v>
      </c>
      <c r="I256" s="96"/>
      <c r="J256" s="108"/>
      <c r="K256" s="99">
        <f t="shared" si="3"/>
        <v>25</v>
      </c>
      <c r="M256" s="106" t="str">
        <f>HYPERLINK("EM-1.1.1_RRF221_media/BOROS-01_2DA-018.png")</f>
        <v>EM-1.1.1_RRF221_media/BOROS-01_2DA-018.png</v>
      </c>
    </row>
    <row r="257" spans="1:13" ht="40.200000000000003" x14ac:dyDescent="0.3">
      <c r="A257" s="107" t="s">
        <v>421</v>
      </c>
      <c r="B257" s="101" t="s">
        <v>13</v>
      </c>
      <c r="C257" s="102" t="s">
        <v>420</v>
      </c>
      <c r="D257" s="102" t="s">
        <v>422</v>
      </c>
      <c r="E257" s="95"/>
      <c r="H257" s="96" t="s">
        <v>558</v>
      </c>
      <c r="I257" s="103"/>
      <c r="J257" s="104"/>
      <c r="K257" s="99">
        <f t="shared" si="3"/>
        <v>3</v>
      </c>
      <c r="M257" s="106" t="str">
        <f>HYPERLINK("EM-1.1.1_RRF221_media/BOROS-01_2D-044.png")</f>
        <v>EM-1.1.1_RRF221_media/BOROS-01_2D-044.png</v>
      </c>
    </row>
    <row r="258" spans="1:13" ht="40.200000000000003" x14ac:dyDescent="0.3">
      <c r="A258" s="107" t="s">
        <v>423</v>
      </c>
      <c r="B258" s="101" t="s">
        <v>17</v>
      </c>
      <c r="C258" s="102" t="s">
        <v>420</v>
      </c>
      <c r="D258" s="102" t="s">
        <v>422</v>
      </c>
      <c r="E258" s="95"/>
      <c r="H258" s="96" t="s">
        <v>558</v>
      </c>
      <c r="I258" s="103"/>
      <c r="J258" s="104"/>
      <c r="K258" s="99">
        <f t="shared" si="3"/>
        <v>1</v>
      </c>
      <c r="M258" s="106" t="str">
        <f>HYPERLINK("EM-1.1.1_RRF221_media/BOROS-01_SF-103.jpg")</f>
        <v>EM-1.1.1_RRF221_media/BOROS-01_SF-103.jpg</v>
      </c>
    </row>
    <row r="259" spans="1:13" ht="40.200000000000003" x14ac:dyDescent="0.3">
      <c r="A259" s="107" t="s">
        <v>424</v>
      </c>
      <c r="B259" s="101" t="s">
        <v>13</v>
      </c>
      <c r="C259" s="102" t="s">
        <v>420</v>
      </c>
      <c r="D259" s="102" t="s">
        <v>425</v>
      </c>
      <c r="E259" s="95"/>
      <c r="H259" s="96" t="s">
        <v>558</v>
      </c>
      <c r="I259" s="103"/>
      <c r="J259" s="104"/>
      <c r="K259" s="99">
        <f t="shared" si="3"/>
        <v>3</v>
      </c>
      <c r="M259" s="106" t="str">
        <f>HYPERLINK("EM-1.1.1_RRF221_media/BOROS-01_2D-045_03.png")</f>
        <v>EM-1.1.1_RRF221_media/BOROS-01_2D-045_03.png</v>
      </c>
    </row>
    <row r="260" spans="1:13" ht="40.200000000000003" x14ac:dyDescent="0.3">
      <c r="A260" s="107" t="s">
        <v>426</v>
      </c>
      <c r="B260" s="101" t="s">
        <v>13</v>
      </c>
      <c r="C260" s="102" t="s">
        <v>420</v>
      </c>
      <c r="D260" s="102" t="s">
        <v>425</v>
      </c>
      <c r="E260" s="95"/>
      <c r="H260" s="96" t="s">
        <v>558</v>
      </c>
      <c r="I260" s="103"/>
      <c r="J260" s="104"/>
      <c r="K260" s="99">
        <f t="shared" si="3"/>
        <v>3</v>
      </c>
      <c r="M260" s="106" t="str">
        <f>HYPERLINK("EM-1.1.1_RRF221_media/BOROS-01_2D-045_06.png")</f>
        <v>EM-1.1.1_RRF221_media/BOROS-01_2D-045_06.png</v>
      </c>
    </row>
    <row r="261" spans="1:13" ht="40.200000000000003" x14ac:dyDescent="0.3">
      <c r="A261" s="107" t="s">
        <v>427</v>
      </c>
      <c r="B261" s="101" t="s">
        <v>13</v>
      </c>
      <c r="C261" s="102" t="s">
        <v>420</v>
      </c>
      <c r="D261" s="102" t="s">
        <v>425</v>
      </c>
      <c r="E261" s="95"/>
      <c r="H261" s="96" t="s">
        <v>558</v>
      </c>
      <c r="I261" s="96"/>
      <c r="J261" s="108"/>
      <c r="K261" s="99">
        <f t="shared" ref="K261:K324" si="4">IF(H261 ="x",IF(B261="Fotó", 1,IF(B261 = "2D grafika", 3, IF(B261 = "3D grafika", 8, IF(B261 ="2D animáció", IF(J261&lt;=10, 25, IF(J261&lt;=20, 28, IF(J261&lt;=30, 31, IF(J261&lt;=40, 34, IF(J261&lt;=50, 37, 37 + ROUNDUP((J261-50)/10, 0)*3))))),IF(B261="3D animáció", IF(J261&lt;=10, 40, IF(J261&lt;=20, 48, IF(J261&lt;=30, 56, IF(J261&lt;=40, 64, IF(J261&lt;=50, 72, 72 + ROUNDUP((J261-50)/10, 0)*8))))), IF(B261="Videó egyszereplős", ROUNDUP(J261/10,0)*2, IF(B261 ="Videó egyszereplős narrációval", ROUNDUP(J261/10,0)*3, IF(B261="Videó többszereplős", ROUNDUP(J261/10,0)*2, IF(B261 ="Videó többszereplős narrációval", ROUNDUP(J261/10,0)*4, IF(B261 ="Hangzóanyag", ROUNDUP(J261/10,0)*1, IF(B261="Interaktív animáció (szimuláció)",13,0))))))))))),0)</f>
        <v>3</v>
      </c>
      <c r="M261" s="106" t="str">
        <f>HYPERLINK("EM-1.1.1_RRF221_media/BOROS-01_2D-045_04.png")</f>
        <v>EM-1.1.1_RRF221_media/BOROS-01_2D-045_04.png</v>
      </c>
    </row>
    <row r="262" spans="1:13" ht="40.200000000000003" x14ac:dyDescent="0.3">
      <c r="A262" s="107" t="s">
        <v>428</v>
      </c>
      <c r="B262" s="101" t="s">
        <v>13</v>
      </c>
      <c r="C262" s="102" t="s">
        <v>420</v>
      </c>
      <c r="D262" s="102" t="s">
        <v>425</v>
      </c>
      <c r="E262" s="95"/>
      <c r="H262" s="96" t="s">
        <v>558</v>
      </c>
      <c r="I262" s="103"/>
      <c r="J262" s="104"/>
      <c r="K262" s="99">
        <f t="shared" si="4"/>
        <v>3</v>
      </c>
      <c r="M262" s="106" t="str">
        <f>HYPERLINK("EM-1.1.1_RRF221_media/BOROS-01_2D-045_10.png")</f>
        <v>EM-1.1.1_RRF221_media/BOROS-01_2D-045_10.png</v>
      </c>
    </row>
    <row r="263" spans="1:13" ht="40.200000000000003" x14ac:dyDescent="0.3">
      <c r="A263" s="107" t="s">
        <v>429</v>
      </c>
      <c r="B263" s="101" t="s">
        <v>13</v>
      </c>
      <c r="C263" s="102" t="s">
        <v>420</v>
      </c>
      <c r="D263" s="102" t="s">
        <v>425</v>
      </c>
      <c r="E263" s="95"/>
      <c r="H263" s="96" t="s">
        <v>558</v>
      </c>
      <c r="I263" s="103"/>
      <c r="J263" s="104"/>
      <c r="K263" s="99">
        <f t="shared" si="4"/>
        <v>3</v>
      </c>
      <c r="M263" s="106" t="str">
        <f>HYPERLINK("EM-1.1.1_RRF221_media/BOROS-01_2D-045_12.png")</f>
        <v>EM-1.1.1_RRF221_media/BOROS-01_2D-045_12.png</v>
      </c>
    </row>
    <row r="264" spans="1:13" ht="40.200000000000003" x14ac:dyDescent="0.3">
      <c r="A264" s="107" t="s">
        <v>430</v>
      </c>
      <c r="B264" s="101" t="s">
        <v>13</v>
      </c>
      <c r="C264" s="102" t="s">
        <v>420</v>
      </c>
      <c r="D264" s="102" t="s">
        <v>425</v>
      </c>
      <c r="E264" s="95"/>
      <c r="H264" s="96" t="s">
        <v>558</v>
      </c>
      <c r="I264" s="103"/>
      <c r="J264" s="104"/>
      <c r="K264" s="99">
        <f t="shared" si="4"/>
        <v>3</v>
      </c>
      <c r="M264" s="66" t="str">
        <f>HYPERLINK("EM-1.1.1_RRF221_media/BOROS-01_2D-045_01.png")</f>
        <v>EM-1.1.1_RRF221_media/BOROS-01_2D-045_01.png</v>
      </c>
    </row>
    <row r="265" spans="1:13" ht="40.200000000000003" x14ac:dyDescent="0.3">
      <c r="A265" s="107" t="s">
        <v>431</v>
      </c>
      <c r="B265" s="101" t="s">
        <v>13</v>
      </c>
      <c r="C265" s="102" t="s">
        <v>420</v>
      </c>
      <c r="D265" s="102" t="s">
        <v>425</v>
      </c>
      <c r="E265" s="95"/>
      <c r="H265" s="96" t="s">
        <v>558</v>
      </c>
      <c r="I265" s="103"/>
      <c r="J265" s="104"/>
      <c r="K265" s="99">
        <f t="shared" si="4"/>
        <v>3</v>
      </c>
      <c r="M265" s="106" t="str">
        <f>HYPERLINK("EM-1.1.1_RRF221_media/BOROS-01_2D-045_11.png")</f>
        <v>EM-1.1.1_RRF221_media/BOROS-01_2D-045_11.png</v>
      </c>
    </row>
    <row r="266" spans="1:13" ht="40.200000000000003" x14ac:dyDescent="0.3">
      <c r="A266" s="107" t="s">
        <v>432</v>
      </c>
      <c r="B266" s="101" t="s">
        <v>13</v>
      </c>
      <c r="C266" s="102" t="s">
        <v>420</v>
      </c>
      <c r="D266" s="102" t="s">
        <v>425</v>
      </c>
      <c r="E266" s="95"/>
      <c r="H266" s="96" t="s">
        <v>558</v>
      </c>
      <c r="I266" s="96"/>
      <c r="J266" s="108"/>
      <c r="K266" s="99">
        <f t="shared" si="4"/>
        <v>3</v>
      </c>
      <c r="M266" s="106" t="str">
        <f>HYPERLINK("EM-1.1.1_RRF221_media/BOROS-01_2D-045_07.png")</f>
        <v>EM-1.1.1_RRF221_media/BOROS-01_2D-045_07.png</v>
      </c>
    </row>
    <row r="267" spans="1:13" ht="40.200000000000003" x14ac:dyDescent="0.3">
      <c r="A267" s="107" t="s">
        <v>433</v>
      </c>
      <c r="B267" s="101" t="s">
        <v>13</v>
      </c>
      <c r="C267" s="102" t="s">
        <v>420</v>
      </c>
      <c r="D267" s="102" t="s">
        <v>425</v>
      </c>
      <c r="E267" s="95"/>
      <c r="H267" s="96" t="s">
        <v>558</v>
      </c>
      <c r="I267" s="103"/>
      <c r="J267" s="104"/>
      <c r="K267" s="99">
        <f t="shared" si="4"/>
        <v>3</v>
      </c>
      <c r="M267" s="106" t="str">
        <f>HYPERLINK("EM-1.1.1_RRF221_media/BOROS-01_2D-045_02.png")</f>
        <v>EM-1.1.1_RRF221_media/BOROS-01_2D-045_02.png</v>
      </c>
    </row>
    <row r="268" spans="1:13" ht="40.200000000000003" x14ac:dyDescent="0.3">
      <c r="A268" s="107" t="s">
        <v>434</v>
      </c>
      <c r="B268" s="101" t="s">
        <v>13</v>
      </c>
      <c r="C268" s="102" t="s">
        <v>420</v>
      </c>
      <c r="D268" s="102" t="s">
        <v>425</v>
      </c>
      <c r="E268" s="95"/>
      <c r="H268" s="96" t="s">
        <v>558</v>
      </c>
      <c r="I268" s="103"/>
      <c r="J268" s="104"/>
      <c r="K268" s="99">
        <f t="shared" si="4"/>
        <v>3</v>
      </c>
      <c r="M268" s="106" t="str">
        <f>HYPERLINK("EM-1.1.1_RRF221_media/BOROS-01_2D-045_09.png")</f>
        <v>EM-1.1.1_RRF221_media/BOROS-01_2D-045_09.png</v>
      </c>
    </row>
    <row r="269" spans="1:13" ht="40.200000000000003" x14ac:dyDescent="0.3">
      <c r="A269" s="107" t="s">
        <v>435</v>
      </c>
      <c r="B269" s="101" t="s">
        <v>13</v>
      </c>
      <c r="C269" s="102" t="s">
        <v>420</v>
      </c>
      <c r="D269" s="102" t="s">
        <v>425</v>
      </c>
      <c r="E269" s="95"/>
      <c r="H269" s="96" t="s">
        <v>558</v>
      </c>
      <c r="I269" s="103"/>
      <c r="J269" s="104"/>
      <c r="K269" s="99">
        <f t="shared" si="4"/>
        <v>3</v>
      </c>
      <c r="M269" s="106" t="str">
        <f>HYPERLINK("EM-1.1.1_RRF221_media/BOROS-01_2D-045_13.png")</f>
        <v>EM-1.1.1_RRF221_media/BOROS-01_2D-045_13.png</v>
      </c>
    </row>
    <row r="270" spans="1:13" ht="40.200000000000003" x14ac:dyDescent="0.3">
      <c r="A270" s="107" t="s">
        <v>436</v>
      </c>
      <c r="B270" s="101" t="s">
        <v>13</v>
      </c>
      <c r="C270" s="102" t="s">
        <v>420</v>
      </c>
      <c r="D270" s="102" t="s">
        <v>425</v>
      </c>
      <c r="E270" s="95"/>
      <c r="H270" s="96" t="s">
        <v>558</v>
      </c>
      <c r="I270" s="103"/>
      <c r="J270" s="104"/>
      <c r="K270" s="99">
        <f t="shared" si="4"/>
        <v>3</v>
      </c>
      <c r="M270" s="106" t="str">
        <f>HYPERLINK("EM-1.1.1_RRF221_media/BOROS-01_2D-045_08.png")</f>
        <v>EM-1.1.1_RRF221_media/BOROS-01_2D-045_08.png</v>
      </c>
    </row>
    <row r="271" spans="1:13" ht="40.200000000000003" x14ac:dyDescent="0.3">
      <c r="A271" s="107" t="s">
        <v>437</v>
      </c>
      <c r="B271" s="101" t="s">
        <v>13</v>
      </c>
      <c r="C271" s="102" t="s">
        <v>420</v>
      </c>
      <c r="D271" s="102" t="s">
        <v>425</v>
      </c>
      <c r="E271" s="95"/>
      <c r="H271" s="96" t="s">
        <v>558</v>
      </c>
      <c r="I271" s="96"/>
      <c r="J271" s="108"/>
      <c r="K271" s="99">
        <f t="shared" si="4"/>
        <v>3</v>
      </c>
      <c r="M271" s="106" t="str">
        <f>HYPERLINK("EM-1.1.1_RRF221_media/BOROS-01_2D-045_05.png")</f>
        <v>EM-1.1.1_RRF221_media/BOROS-01_2D-045_05.png</v>
      </c>
    </row>
    <row r="272" spans="1:13" ht="40.200000000000003" x14ac:dyDescent="0.3">
      <c r="A272" s="107" t="s">
        <v>438</v>
      </c>
      <c r="B272" s="101" t="s">
        <v>17</v>
      </c>
      <c r="C272" s="102" t="s">
        <v>420</v>
      </c>
      <c r="D272" s="102" t="s">
        <v>439</v>
      </c>
      <c r="E272" s="95"/>
      <c r="H272" s="96" t="s">
        <v>558</v>
      </c>
      <c r="I272" s="103"/>
      <c r="J272" s="104"/>
      <c r="K272" s="99">
        <f t="shared" si="4"/>
        <v>1</v>
      </c>
      <c r="M272" s="106" t="str">
        <f>HYPERLINK("EM-1.1.1_RRF221_media/BOROS-01_F-016.jpg")</f>
        <v>EM-1.1.1_RRF221_media/BOROS-01_F-016.jpg</v>
      </c>
    </row>
    <row r="273" spans="1:13" ht="40.200000000000003" x14ac:dyDescent="0.3">
      <c r="A273" s="107" t="s">
        <v>440</v>
      </c>
      <c r="B273" s="101" t="s">
        <v>17</v>
      </c>
      <c r="C273" s="102" t="s">
        <v>420</v>
      </c>
      <c r="D273" s="102" t="s">
        <v>439</v>
      </c>
      <c r="E273" s="95"/>
      <c r="H273" s="96" t="s">
        <v>558</v>
      </c>
      <c r="I273" s="103"/>
      <c r="J273" s="104"/>
      <c r="K273" s="99">
        <f t="shared" si="4"/>
        <v>1</v>
      </c>
      <c r="M273" s="106" t="str">
        <f>HYPERLINK("EM-1.1.1_RRF221_media/BOROS-01_F-017.jpg")</f>
        <v>EM-1.1.1_RRF221_media/BOROS-01_F-017.jpg</v>
      </c>
    </row>
    <row r="274" spans="1:13" ht="40.200000000000003" x14ac:dyDescent="0.3">
      <c r="A274" s="107" t="s">
        <v>441</v>
      </c>
      <c r="B274" s="101" t="s">
        <v>17</v>
      </c>
      <c r="C274" s="102" t="s">
        <v>420</v>
      </c>
      <c r="D274" s="102" t="s">
        <v>442</v>
      </c>
      <c r="E274" s="95"/>
      <c r="H274" s="96" t="s">
        <v>558</v>
      </c>
      <c r="I274" s="103"/>
      <c r="J274" s="104"/>
      <c r="K274" s="99">
        <f t="shared" si="4"/>
        <v>1</v>
      </c>
      <c r="M274" s="106" t="str">
        <f>HYPERLINK("EM-1.1.1_RRF221_media/BOROS-01_SF-104.jpg")</f>
        <v>EM-1.1.1_RRF221_media/BOROS-01_SF-104.jpg</v>
      </c>
    </row>
    <row r="275" spans="1:13" ht="40.200000000000003" x14ac:dyDescent="0.3">
      <c r="A275" s="107" t="s">
        <v>443</v>
      </c>
      <c r="B275" s="101" t="s">
        <v>13</v>
      </c>
      <c r="C275" s="102" t="s">
        <v>420</v>
      </c>
      <c r="D275" s="102" t="s">
        <v>444</v>
      </c>
      <c r="E275" s="95"/>
      <c r="H275" s="96" t="s">
        <v>558</v>
      </c>
      <c r="I275" s="103"/>
      <c r="J275" s="104"/>
      <c r="K275" s="99">
        <f t="shared" si="4"/>
        <v>3</v>
      </c>
      <c r="M275" s="106" t="str">
        <f>HYPERLINK("EM-1.1.1_RRF221_media/BOROS-01_2D-046_05.png")</f>
        <v>EM-1.1.1_RRF221_media/BOROS-01_2D-046_05.png</v>
      </c>
    </row>
    <row r="276" spans="1:13" ht="40.200000000000003" x14ac:dyDescent="0.3">
      <c r="A276" s="107" t="s">
        <v>445</v>
      </c>
      <c r="B276" s="101" t="s">
        <v>13</v>
      </c>
      <c r="C276" s="102" t="s">
        <v>420</v>
      </c>
      <c r="D276" s="102" t="s">
        <v>444</v>
      </c>
      <c r="E276" s="95"/>
      <c r="H276" s="96" t="s">
        <v>558</v>
      </c>
      <c r="I276" s="96"/>
      <c r="J276" s="108"/>
      <c r="K276" s="99">
        <f t="shared" si="4"/>
        <v>3</v>
      </c>
      <c r="M276" s="106" t="str">
        <f>HYPERLINK("EM-1.1.1_RRF221_media/BOROS-01_2D-046_02.png")</f>
        <v>EM-1.1.1_RRF221_media/BOROS-01_2D-046_02.png</v>
      </c>
    </row>
    <row r="277" spans="1:13" ht="40.200000000000003" x14ac:dyDescent="0.3">
      <c r="A277" s="107" t="s">
        <v>446</v>
      </c>
      <c r="B277" s="101" t="s">
        <v>13</v>
      </c>
      <c r="C277" s="102" t="s">
        <v>420</v>
      </c>
      <c r="D277" s="102" t="s">
        <v>444</v>
      </c>
      <c r="E277" s="95"/>
      <c r="H277" s="96" t="s">
        <v>558</v>
      </c>
      <c r="I277" s="103"/>
      <c r="J277" s="104"/>
      <c r="K277" s="99">
        <f t="shared" si="4"/>
        <v>3</v>
      </c>
      <c r="M277" s="106" t="str">
        <f>HYPERLINK("EM-1.1.1_RRF221_media/BOROS-01_2D-046_03.png")</f>
        <v>EM-1.1.1_RRF221_media/BOROS-01_2D-046_03.png</v>
      </c>
    </row>
    <row r="278" spans="1:13" ht="40.200000000000003" x14ac:dyDescent="0.3">
      <c r="A278" s="107" t="s">
        <v>447</v>
      </c>
      <c r="B278" s="101" t="s">
        <v>13</v>
      </c>
      <c r="C278" s="102" t="s">
        <v>420</v>
      </c>
      <c r="D278" s="102" t="s">
        <v>444</v>
      </c>
      <c r="E278" s="95"/>
      <c r="H278" s="96" t="s">
        <v>558</v>
      </c>
      <c r="I278" s="103"/>
      <c r="J278" s="104"/>
      <c r="K278" s="99">
        <f t="shared" si="4"/>
        <v>3</v>
      </c>
      <c r="M278" s="106" t="str">
        <f>HYPERLINK("EM-1.1.1_RRF221_media/BOROS-01_2D-046_04.png")</f>
        <v>EM-1.1.1_RRF221_media/BOROS-01_2D-046_04.png</v>
      </c>
    </row>
    <row r="279" spans="1:13" ht="40.200000000000003" x14ac:dyDescent="0.3">
      <c r="A279" s="107" t="s">
        <v>448</v>
      </c>
      <c r="B279" s="101" t="s">
        <v>13</v>
      </c>
      <c r="C279" s="102" t="s">
        <v>420</v>
      </c>
      <c r="D279" s="102" t="s">
        <v>444</v>
      </c>
      <c r="E279" s="95"/>
      <c r="H279" s="96" t="s">
        <v>558</v>
      </c>
      <c r="I279" s="103"/>
      <c r="J279" s="104"/>
      <c r="K279" s="99">
        <f t="shared" si="4"/>
        <v>3</v>
      </c>
      <c r="M279" s="106" t="str">
        <f>HYPERLINK("EM-1.1.1_RRF221_media/BOROS-01_2D-046_06.png")</f>
        <v>EM-1.1.1_RRF221_media/BOROS-01_2D-046_06.png</v>
      </c>
    </row>
    <row r="280" spans="1:13" ht="40.200000000000003" x14ac:dyDescent="0.3">
      <c r="A280" s="107" t="s">
        <v>449</v>
      </c>
      <c r="B280" s="101" t="s">
        <v>13</v>
      </c>
      <c r="C280" s="102" t="s">
        <v>420</v>
      </c>
      <c r="D280" s="102" t="s">
        <v>444</v>
      </c>
      <c r="E280" s="95"/>
      <c r="H280" s="96" t="s">
        <v>558</v>
      </c>
      <c r="I280" s="103"/>
      <c r="J280" s="104"/>
      <c r="K280" s="99">
        <f t="shared" si="4"/>
        <v>3</v>
      </c>
      <c r="M280" s="106" t="str">
        <f>HYPERLINK("EM-1.1.1_RRF221_media/BOROS-01_2D-046_01.png")</f>
        <v>EM-1.1.1_RRF221_media/BOROS-01_2D-046_01.png</v>
      </c>
    </row>
    <row r="281" spans="1:13" ht="40.200000000000003" x14ac:dyDescent="0.3">
      <c r="A281" s="107" t="s">
        <v>450</v>
      </c>
      <c r="B281" s="101" t="s">
        <v>13</v>
      </c>
      <c r="C281" s="102" t="s">
        <v>420</v>
      </c>
      <c r="D281" s="102" t="s">
        <v>451</v>
      </c>
      <c r="E281" s="95"/>
      <c r="H281" s="96" t="s">
        <v>558</v>
      </c>
      <c r="I281" s="96"/>
      <c r="J281" s="108"/>
      <c r="K281" s="99">
        <f t="shared" si="4"/>
        <v>3</v>
      </c>
      <c r="M281" s="106" t="str">
        <f>HYPERLINK("EM-1.1.1_RRF221_media/BOROS-01_2D-047_03.png")</f>
        <v>EM-1.1.1_RRF221_media/BOROS-01_2D-047_03.png</v>
      </c>
    </row>
    <row r="282" spans="1:13" ht="40.200000000000003" x14ac:dyDescent="0.3">
      <c r="A282" s="107" t="s">
        <v>452</v>
      </c>
      <c r="B282" s="101" t="s">
        <v>13</v>
      </c>
      <c r="C282" s="102" t="s">
        <v>420</v>
      </c>
      <c r="D282" s="102" t="s">
        <v>451</v>
      </c>
      <c r="E282" s="95"/>
      <c r="H282" s="96" t="s">
        <v>558</v>
      </c>
      <c r="I282" s="103"/>
      <c r="J282" s="104"/>
      <c r="K282" s="99">
        <f t="shared" si="4"/>
        <v>3</v>
      </c>
      <c r="M282" s="106" t="str">
        <f>HYPERLINK("EM-1.1.1_RRF221_media/BOROS-01_2D-047_01.png")</f>
        <v>EM-1.1.1_RRF221_media/BOROS-01_2D-047_01.png</v>
      </c>
    </row>
    <row r="283" spans="1:13" ht="40.200000000000003" x14ac:dyDescent="0.3">
      <c r="A283" s="107" t="s">
        <v>453</v>
      </c>
      <c r="B283" s="101" t="s">
        <v>13</v>
      </c>
      <c r="C283" s="102" t="s">
        <v>420</v>
      </c>
      <c r="D283" s="102" t="s">
        <v>451</v>
      </c>
      <c r="E283" s="95"/>
      <c r="H283" s="96" t="s">
        <v>558</v>
      </c>
      <c r="I283" s="103"/>
      <c r="J283" s="104"/>
      <c r="K283" s="99">
        <f t="shared" si="4"/>
        <v>3</v>
      </c>
      <c r="M283" s="106" t="str">
        <f>HYPERLINK("EM-1.1.1_RRF221_media/BOROS-01_2D-047_04.png")</f>
        <v>EM-1.1.1_RRF221_media/BOROS-01_2D-047_04.png</v>
      </c>
    </row>
    <row r="284" spans="1:13" ht="40.200000000000003" x14ac:dyDescent="0.3">
      <c r="A284" s="107" t="s">
        <v>454</v>
      </c>
      <c r="B284" s="101" t="s">
        <v>13</v>
      </c>
      <c r="C284" s="102" t="s">
        <v>420</v>
      </c>
      <c r="D284" s="102" t="s">
        <v>451</v>
      </c>
      <c r="E284" s="95"/>
      <c r="H284" s="96" t="s">
        <v>558</v>
      </c>
      <c r="I284" s="103"/>
      <c r="J284" s="104"/>
      <c r="K284" s="99">
        <f t="shared" si="4"/>
        <v>3</v>
      </c>
      <c r="M284" s="106" t="str">
        <f>HYPERLINK("EM-1.1.1_RRF221_media/BOROS-01_2D-047_02.png")</f>
        <v>EM-1.1.1_RRF221_media/BOROS-01_2D-047_02.png</v>
      </c>
    </row>
    <row r="285" spans="1:13" ht="40.200000000000003" x14ac:dyDescent="0.3">
      <c r="A285" s="107" t="s">
        <v>455</v>
      </c>
      <c r="B285" s="101" t="s">
        <v>13</v>
      </c>
      <c r="C285" s="102" t="s">
        <v>420</v>
      </c>
      <c r="D285" s="102" t="s">
        <v>456</v>
      </c>
      <c r="E285" s="95"/>
      <c r="H285" s="96" t="s">
        <v>558</v>
      </c>
      <c r="I285" s="103"/>
      <c r="J285" s="104"/>
      <c r="K285" s="99">
        <f t="shared" si="4"/>
        <v>3</v>
      </c>
      <c r="M285" s="106" t="str">
        <f>HYPERLINK("EM-1.1.1_RRF221_media/BOROS-01_2D-048_03.png")</f>
        <v>EM-1.1.1_RRF221_media/BOROS-01_2D-048_03.png</v>
      </c>
    </row>
    <row r="286" spans="1:13" ht="40.200000000000003" x14ac:dyDescent="0.3">
      <c r="A286" s="107" t="s">
        <v>457</v>
      </c>
      <c r="B286" s="101" t="s">
        <v>13</v>
      </c>
      <c r="C286" s="102" t="s">
        <v>420</v>
      </c>
      <c r="D286" s="102" t="s">
        <v>456</v>
      </c>
      <c r="E286" s="95"/>
      <c r="H286" s="96" t="s">
        <v>558</v>
      </c>
      <c r="I286" s="96"/>
      <c r="J286" s="108"/>
      <c r="K286" s="99">
        <f t="shared" si="4"/>
        <v>3</v>
      </c>
      <c r="M286" s="106" t="str">
        <f>HYPERLINK("EM-1.1.1_RRF221_media/BOROS-01_2D-048_01.png")</f>
        <v>EM-1.1.1_RRF221_media/BOROS-01_2D-048_01.png</v>
      </c>
    </row>
    <row r="287" spans="1:13" ht="40.200000000000003" x14ac:dyDescent="0.3">
      <c r="A287" s="107" t="s">
        <v>458</v>
      </c>
      <c r="B287" s="101" t="s">
        <v>13</v>
      </c>
      <c r="C287" s="102" t="s">
        <v>420</v>
      </c>
      <c r="D287" s="102" t="s">
        <v>456</v>
      </c>
      <c r="E287" s="95"/>
      <c r="H287" s="96" t="s">
        <v>558</v>
      </c>
      <c r="I287" s="103"/>
      <c r="J287" s="104"/>
      <c r="K287" s="99">
        <f t="shared" si="4"/>
        <v>3</v>
      </c>
      <c r="M287" s="106" t="str">
        <f>HYPERLINK("EM-1.1.1_RRF221_media/BOROS-01_2D-048_04.png")</f>
        <v>EM-1.1.1_RRF221_media/BOROS-01_2D-048_04.png</v>
      </c>
    </row>
    <row r="288" spans="1:13" ht="40.200000000000003" x14ac:dyDescent="0.3">
      <c r="A288" s="107" t="s">
        <v>459</v>
      </c>
      <c r="B288" s="101" t="s">
        <v>13</v>
      </c>
      <c r="C288" s="102" t="s">
        <v>420</v>
      </c>
      <c r="D288" s="102" t="s">
        <v>456</v>
      </c>
      <c r="E288" s="95"/>
      <c r="H288" s="96" t="s">
        <v>558</v>
      </c>
      <c r="I288" s="103"/>
      <c r="J288" s="104"/>
      <c r="K288" s="99">
        <f t="shared" si="4"/>
        <v>3</v>
      </c>
      <c r="M288" s="106" t="str">
        <f>HYPERLINK("EM-1.1.1_RRF221_media/BOROS-01_2D-048_05.png")</f>
        <v>EM-1.1.1_RRF221_media/BOROS-01_2D-048_05.png</v>
      </c>
    </row>
    <row r="289" spans="1:13" ht="40.200000000000003" x14ac:dyDescent="0.3">
      <c r="A289" s="107" t="s">
        <v>460</v>
      </c>
      <c r="B289" s="101" t="s">
        <v>13</v>
      </c>
      <c r="C289" s="102" t="s">
        <v>420</v>
      </c>
      <c r="D289" s="102" t="s">
        <v>456</v>
      </c>
      <c r="E289" s="95"/>
      <c r="H289" s="96" t="s">
        <v>558</v>
      </c>
      <c r="I289" s="103"/>
      <c r="J289" s="104"/>
      <c r="K289" s="99">
        <f t="shared" si="4"/>
        <v>3</v>
      </c>
      <c r="M289" s="106" t="str">
        <f>HYPERLINK("EM-1.1.1_RRF221_media/BOROS-01_2D-048_02.png")</f>
        <v>EM-1.1.1_RRF221_media/BOROS-01_2D-048_02.png</v>
      </c>
    </row>
    <row r="290" spans="1:13" ht="40.200000000000003" x14ac:dyDescent="0.3">
      <c r="A290" s="107" t="s">
        <v>461</v>
      </c>
      <c r="B290" s="101" t="s">
        <v>17</v>
      </c>
      <c r="C290" s="102" t="s">
        <v>420</v>
      </c>
      <c r="D290" s="102" t="s">
        <v>462</v>
      </c>
      <c r="E290" s="95"/>
      <c r="H290" s="96" t="s">
        <v>558</v>
      </c>
      <c r="I290" s="103"/>
      <c r="J290" s="104"/>
      <c r="K290" s="99">
        <f t="shared" si="4"/>
        <v>1</v>
      </c>
      <c r="M290" s="106" t="str">
        <f>HYPERLINK("EM-1.1.1_RRF221_media/BOROS-01_F-020.jpg")</f>
        <v>EM-1.1.1_RRF221_media/BOROS-01_F-020.jpg</v>
      </c>
    </row>
    <row r="291" spans="1:13" ht="40.200000000000003" x14ac:dyDescent="0.3">
      <c r="A291" s="107" t="s">
        <v>463</v>
      </c>
      <c r="B291" s="101" t="s">
        <v>17</v>
      </c>
      <c r="C291" s="102" t="s">
        <v>420</v>
      </c>
      <c r="D291" s="102" t="s">
        <v>462</v>
      </c>
      <c r="E291" s="95"/>
      <c r="H291" s="96" t="s">
        <v>558</v>
      </c>
      <c r="I291" s="96"/>
      <c r="J291" s="108"/>
      <c r="K291" s="99">
        <f t="shared" si="4"/>
        <v>1</v>
      </c>
      <c r="M291" s="106" t="str">
        <f>HYPERLINK("EM-1.1.1_RRF221_media/BOROS-01_F-018.jpg")</f>
        <v>EM-1.1.1_RRF221_media/BOROS-01_F-018.jpg</v>
      </c>
    </row>
    <row r="292" spans="1:13" ht="40.200000000000003" x14ac:dyDescent="0.3">
      <c r="A292" s="107" t="s">
        <v>464</v>
      </c>
      <c r="B292" s="101" t="s">
        <v>13</v>
      </c>
      <c r="C292" s="102" t="s">
        <v>420</v>
      </c>
      <c r="D292" s="102" t="s">
        <v>462</v>
      </c>
      <c r="E292" s="95"/>
      <c r="H292" s="96" t="s">
        <v>558</v>
      </c>
      <c r="I292" s="103"/>
      <c r="J292" s="104"/>
      <c r="K292" s="99">
        <f t="shared" si="4"/>
        <v>3</v>
      </c>
      <c r="M292" s="106" t="str">
        <f>HYPERLINK("EM-1.1.1_RRF221_media/BOROS-01_2D-049.png")</f>
        <v>EM-1.1.1_RRF221_media/BOROS-01_2D-049.png</v>
      </c>
    </row>
    <row r="293" spans="1:13" ht="40.200000000000003" x14ac:dyDescent="0.3">
      <c r="A293" s="107" t="s">
        <v>465</v>
      </c>
      <c r="B293" s="101" t="s">
        <v>17</v>
      </c>
      <c r="C293" s="102" t="s">
        <v>420</v>
      </c>
      <c r="D293" s="102" t="s">
        <v>462</v>
      </c>
      <c r="E293" s="95"/>
      <c r="H293" s="96" t="s">
        <v>558</v>
      </c>
      <c r="I293" s="103"/>
      <c r="J293" s="104"/>
      <c r="K293" s="99">
        <f t="shared" si="4"/>
        <v>1</v>
      </c>
      <c r="M293" s="106" t="str">
        <f>HYPERLINK("EM-1.1.1_RRF221_media/BOROS-01_F-019.jpg")</f>
        <v>EM-1.1.1_RRF221_media/BOROS-01_F-019.jpg</v>
      </c>
    </row>
    <row r="294" spans="1:13" ht="40.200000000000003" x14ac:dyDescent="0.3">
      <c r="A294" s="107" t="s">
        <v>466</v>
      </c>
      <c r="B294" s="101" t="s">
        <v>13</v>
      </c>
      <c r="C294" s="102" t="s">
        <v>420</v>
      </c>
      <c r="D294" s="102" t="s">
        <v>467</v>
      </c>
      <c r="E294" s="95"/>
      <c r="H294" s="96" t="s">
        <v>558</v>
      </c>
      <c r="I294" s="103"/>
      <c r="J294" s="104"/>
      <c r="K294" s="99">
        <f t="shared" si="4"/>
        <v>3</v>
      </c>
      <c r="M294" s="106" t="str">
        <f>HYPERLINK("EM-1.1.1_RRF221_media/BOROS-01_2D-050_02.jpg")</f>
        <v>EM-1.1.1_RRF221_media/BOROS-01_2D-050_02.jpg</v>
      </c>
    </row>
    <row r="295" spans="1:13" ht="40.200000000000003" x14ac:dyDescent="0.3">
      <c r="A295" s="107" t="s">
        <v>468</v>
      </c>
      <c r="B295" s="101" t="s">
        <v>13</v>
      </c>
      <c r="C295" s="102" t="s">
        <v>420</v>
      </c>
      <c r="D295" s="102" t="s">
        <v>467</v>
      </c>
      <c r="E295" s="95"/>
      <c r="H295" s="96" t="s">
        <v>558</v>
      </c>
      <c r="I295" s="103"/>
      <c r="J295" s="104"/>
      <c r="K295" s="99">
        <f t="shared" si="4"/>
        <v>3</v>
      </c>
      <c r="M295" s="106" t="str">
        <f>HYPERLINK("EM-1.1.1_RRF221_media/BOROS-01_2D-050_03.jpg")</f>
        <v>EM-1.1.1_RRF221_media/BOROS-01_2D-050_03.jpg</v>
      </c>
    </row>
    <row r="296" spans="1:13" ht="40.200000000000003" x14ac:dyDescent="0.3">
      <c r="A296" s="107" t="s">
        <v>469</v>
      </c>
      <c r="B296" s="101" t="s">
        <v>13</v>
      </c>
      <c r="C296" s="102" t="s">
        <v>420</v>
      </c>
      <c r="D296" s="102" t="s">
        <v>467</v>
      </c>
      <c r="E296" s="95"/>
      <c r="H296" s="96" t="s">
        <v>558</v>
      </c>
      <c r="I296" s="96"/>
      <c r="J296" s="108"/>
      <c r="K296" s="99">
        <f t="shared" si="4"/>
        <v>3</v>
      </c>
      <c r="M296" s="106" t="str">
        <f>HYPERLINK("EM-1.1.1_RRF221_media/BOROS-01_2D-050_01.jpg")</f>
        <v>EM-1.1.1_RRF221_media/BOROS-01_2D-050_01.jpg</v>
      </c>
    </row>
    <row r="297" spans="1:13" ht="40.200000000000003" x14ac:dyDescent="0.3">
      <c r="A297" s="107" t="s">
        <v>470</v>
      </c>
      <c r="B297" s="101" t="s">
        <v>13</v>
      </c>
      <c r="C297" s="102" t="s">
        <v>420</v>
      </c>
      <c r="D297" s="102" t="s">
        <v>467</v>
      </c>
      <c r="E297" s="95"/>
      <c r="H297" s="96" t="s">
        <v>558</v>
      </c>
      <c r="I297" s="103"/>
      <c r="J297" s="104"/>
      <c r="K297" s="99">
        <f t="shared" si="4"/>
        <v>3</v>
      </c>
      <c r="M297" s="106" t="str">
        <f>HYPERLINK("EM-1.1.1_RRF221_media/BOROS-01_2D-050_05.jpg")</f>
        <v>EM-1.1.1_RRF221_media/BOROS-01_2D-050_05.jpg</v>
      </c>
    </row>
    <row r="298" spans="1:13" ht="40.200000000000003" x14ac:dyDescent="0.3">
      <c r="A298" s="107" t="s">
        <v>471</v>
      </c>
      <c r="B298" s="101" t="s">
        <v>13</v>
      </c>
      <c r="C298" s="102" t="s">
        <v>420</v>
      </c>
      <c r="D298" s="102" t="s">
        <v>467</v>
      </c>
      <c r="E298" s="95"/>
      <c r="H298" s="96" t="s">
        <v>558</v>
      </c>
      <c r="I298" s="103"/>
      <c r="J298" s="104"/>
      <c r="K298" s="99">
        <f t="shared" si="4"/>
        <v>3</v>
      </c>
      <c r="M298" s="106" t="str">
        <f>HYPERLINK("EM-1.1.1_RRF221_media/BOROS-01_2D-050_04.jpg")</f>
        <v>EM-1.1.1_RRF221_media/BOROS-01_2D-050_04.jpg</v>
      </c>
    </row>
    <row r="299" spans="1:13" ht="40.200000000000003" x14ac:dyDescent="0.3">
      <c r="A299" s="107" t="s">
        <v>472</v>
      </c>
      <c r="B299" s="101" t="s">
        <v>13</v>
      </c>
      <c r="C299" s="102" t="s">
        <v>420</v>
      </c>
      <c r="D299" s="102" t="s">
        <v>473</v>
      </c>
      <c r="E299" s="95"/>
      <c r="H299" s="96" t="s">
        <v>558</v>
      </c>
      <c r="I299" s="103"/>
      <c r="J299" s="104"/>
      <c r="K299" s="99">
        <f t="shared" si="4"/>
        <v>3</v>
      </c>
      <c r="M299" s="106" t="str">
        <f>HYPERLINK("EM-1.1.1_RRF221_media/BOROS-01_2D-051_01.png")</f>
        <v>EM-1.1.1_RRF221_media/BOROS-01_2D-051_01.png</v>
      </c>
    </row>
    <row r="300" spans="1:13" ht="40.200000000000003" x14ac:dyDescent="0.3">
      <c r="A300" s="107" t="s">
        <v>474</v>
      </c>
      <c r="B300" s="101" t="s">
        <v>13</v>
      </c>
      <c r="C300" s="102" t="s">
        <v>420</v>
      </c>
      <c r="D300" s="102" t="s">
        <v>473</v>
      </c>
      <c r="E300" s="95"/>
      <c r="H300" s="96" t="s">
        <v>558</v>
      </c>
      <c r="I300" s="103"/>
      <c r="J300" s="104"/>
      <c r="K300" s="99">
        <f t="shared" si="4"/>
        <v>3</v>
      </c>
      <c r="M300" s="106" t="str">
        <f>HYPERLINK("EM-1.1.1_RRF221_media/BOROS-01_2D-053_02.png")</f>
        <v>EM-1.1.1_RRF221_media/BOROS-01_2D-053_02.png</v>
      </c>
    </row>
    <row r="301" spans="1:13" ht="40.200000000000003" x14ac:dyDescent="0.3">
      <c r="A301" s="100" t="s">
        <v>475</v>
      </c>
      <c r="B301" s="101" t="s">
        <v>13</v>
      </c>
      <c r="C301" s="102" t="s">
        <v>420</v>
      </c>
      <c r="D301" s="102" t="s">
        <v>473</v>
      </c>
      <c r="E301" s="95"/>
      <c r="H301" s="96" t="s">
        <v>558</v>
      </c>
      <c r="I301" s="103"/>
      <c r="J301" s="104"/>
      <c r="K301" s="99">
        <f t="shared" si="4"/>
        <v>3</v>
      </c>
      <c r="M301" s="106" t="str">
        <f>HYPERLINK("EM-1.1.1_RRF221_media/BOROS-01_2D-059_02.png")</f>
        <v>EM-1.1.1_RRF221_media/BOROS-01_2D-059_02.png</v>
      </c>
    </row>
    <row r="302" spans="1:13" ht="40.200000000000003" x14ac:dyDescent="0.3">
      <c r="A302" s="100" t="s">
        <v>476</v>
      </c>
      <c r="B302" s="101" t="s">
        <v>13</v>
      </c>
      <c r="C302" s="102" t="s">
        <v>420</v>
      </c>
      <c r="D302" s="102" t="s">
        <v>473</v>
      </c>
      <c r="E302" s="95"/>
      <c r="H302" s="96" t="s">
        <v>558</v>
      </c>
      <c r="I302" s="103"/>
      <c r="J302" s="104"/>
      <c r="K302" s="99">
        <f t="shared" si="4"/>
        <v>3</v>
      </c>
      <c r="M302" s="106" t="str">
        <f>HYPERLINK("EM-1.1.1_RRF221_media/BOROS-01_2D-051_02.png")</f>
        <v>EM-1.1.1_RRF221_media/BOROS-01_2D-051_02.png</v>
      </c>
    </row>
    <row r="303" spans="1:13" ht="40.200000000000003" x14ac:dyDescent="0.3">
      <c r="A303" s="100" t="s">
        <v>477</v>
      </c>
      <c r="B303" s="101" t="s">
        <v>13</v>
      </c>
      <c r="C303" s="102" t="s">
        <v>420</v>
      </c>
      <c r="D303" s="102" t="s">
        <v>473</v>
      </c>
      <c r="E303" s="95"/>
      <c r="H303" s="96" t="s">
        <v>558</v>
      </c>
      <c r="I303" s="103"/>
      <c r="J303" s="104"/>
      <c r="K303" s="99">
        <f t="shared" si="4"/>
        <v>3</v>
      </c>
      <c r="M303" s="106" t="str">
        <f>HYPERLINK("EM-1.1.1_RRF221_media/BOROS-01_2D-054_01.png")</f>
        <v>EM-1.1.1_RRF221_media/BOROS-01_2D-054_01.png</v>
      </c>
    </row>
    <row r="304" spans="1:13" ht="40.200000000000003" x14ac:dyDescent="0.3">
      <c r="A304" s="100" t="s">
        <v>478</v>
      </c>
      <c r="B304" s="101" t="s">
        <v>13</v>
      </c>
      <c r="C304" s="102" t="s">
        <v>420</v>
      </c>
      <c r="D304" s="102" t="s">
        <v>473</v>
      </c>
      <c r="E304" s="95"/>
      <c r="H304" s="96" t="s">
        <v>558</v>
      </c>
      <c r="I304" s="103"/>
      <c r="J304" s="104"/>
      <c r="K304" s="99">
        <f t="shared" si="4"/>
        <v>3</v>
      </c>
      <c r="M304" s="106" t="str">
        <f>HYPERLINK("EM-1.1.1_RRF221_media/BOROS-01_2D-056_02.png")</f>
        <v>EM-1.1.1_RRF221_media/BOROS-01_2D-056_02.png</v>
      </c>
    </row>
    <row r="305" spans="1:13" ht="40.200000000000003" x14ac:dyDescent="0.3">
      <c r="A305" s="107" t="s">
        <v>479</v>
      </c>
      <c r="B305" s="101" t="s">
        <v>13</v>
      </c>
      <c r="C305" s="102" t="s">
        <v>420</v>
      </c>
      <c r="D305" s="102" t="s">
        <v>473</v>
      </c>
      <c r="E305" s="95"/>
      <c r="H305" s="96" t="s">
        <v>558</v>
      </c>
      <c r="I305" s="96"/>
      <c r="J305" s="108"/>
      <c r="K305" s="99">
        <f t="shared" si="4"/>
        <v>3</v>
      </c>
      <c r="M305" s="106" t="str">
        <f>HYPERLINK("EM-1.1.1_RRF221_media/BOROS-01_2D-052_01.png")</f>
        <v>EM-1.1.1_RRF221_media/BOROS-01_2D-052_01.png</v>
      </c>
    </row>
    <row r="306" spans="1:13" ht="40.200000000000003" x14ac:dyDescent="0.3">
      <c r="A306" s="107" t="s">
        <v>480</v>
      </c>
      <c r="B306" s="101" t="s">
        <v>13</v>
      </c>
      <c r="C306" s="102" t="s">
        <v>420</v>
      </c>
      <c r="D306" s="102" t="s">
        <v>473</v>
      </c>
      <c r="E306" s="95"/>
      <c r="H306" s="96" t="s">
        <v>558</v>
      </c>
      <c r="I306" s="103"/>
      <c r="J306" s="104"/>
      <c r="K306" s="99">
        <f t="shared" si="4"/>
        <v>3</v>
      </c>
      <c r="M306" s="106" t="str">
        <f>HYPERLINK("EM-1.1.1_RRF221_media/BOROS-01_2D-057_01.png")</f>
        <v>EM-1.1.1_RRF221_media/BOROS-01_2D-057_01.png</v>
      </c>
    </row>
    <row r="307" spans="1:13" ht="40.200000000000003" x14ac:dyDescent="0.3">
      <c r="A307" s="107" t="s">
        <v>481</v>
      </c>
      <c r="B307" s="101" t="s">
        <v>13</v>
      </c>
      <c r="C307" s="102" t="s">
        <v>420</v>
      </c>
      <c r="D307" s="102" t="s">
        <v>473</v>
      </c>
      <c r="E307" s="95"/>
      <c r="H307" s="96" t="s">
        <v>558</v>
      </c>
      <c r="I307" s="103"/>
      <c r="J307" s="104"/>
      <c r="K307" s="99">
        <f t="shared" si="4"/>
        <v>3</v>
      </c>
      <c r="M307" s="106" t="str">
        <f>HYPERLINK("EM-1.1.1_RRF221_media/BOROS-01_2D-056_01.png")</f>
        <v>EM-1.1.1_RRF221_media/BOROS-01_2D-056_01.png</v>
      </c>
    </row>
    <row r="308" spans="1:13" ht="40.200000000000003" x14ac:dyDescent="0.3">
      <c r="A308" s="107" t="s">
        <v>482</v>
      </c>
      <c r="B308" s="101" t="s">
        <v>13</v>
      </c>
      <c r="C308" s="102" t="s">
        <v>420</v>
      </c>
      <c r="D308" s="102" t="s">
        <v>473</v>
      </c>
      <c r="E308" s="95"/>
      <c r="H308" s="96" t="s">
        <v>558</v>
      </c>
      <c r="I308" s="103"/>
      <c r="J308" s="104"/>
      <c r="K308" s="99">
        <f t="shared" si="4"/>
        <v>3</v>
      </c>
      <c r="M308" s="106" t="str">
        <f>HYPERLINK("EM-1.1.1_RRF221_media/BOROS-01_2D-052_02.png")</f>
        <v>EM-1.1.1_RRF221_media/BOROS-01_2D-052_02.png</v>
      </c>
    </row>
    <row r="309" spans="1:13" ht="40.200000000000003" x14ac:dyDescent="0.3">
      <c r="A309" s="107" t="s">
        <v>483</v>
      </c>
      <c r="B309" s="101" t="s">
        <v>13</v>
      </c>
      <c r="C309" s="102" t="s">
        <v>420</v>
      </c>
      <c r="D309" s="102" t="s">
        <v>473</v>
      </c>
      <c r="E309" s="95"/>
      <c r="H309" s="96" t="s">
        <v>558</v>
      </c>
      <c r="I309" s="103"/>
      <c r="J309" s="104"/>
      <c r="K309" s="99">
        <f t="shared" si="4"/>
        <v>3</v>
      </c>
      <c r="M309" s="106" t="str">
        <f>HYPERLINK("EM-1.1.1_RRF221_media/BOROS-01_2D-060_02.png")</f>
        <v>EM-1.1.1_RRF221_media/BOROS-01_2D-060_02.png</v>
      </c>
    </row>
    <row r="310" spans="1:13" ht="40.200000000000003" x14ac:dyDescent="0.3">
      <c r="A310" s="107" t="s">
        <v>484</v>
      </c>
      <c r="B310" s="101" t="s">
        <v>13</v>
      </c>
      <c r="C310" s="102" t="s">
        <v>420</v>
      </c>
      <c r="D310" s="102" t="s">
        <v>473</v>
      </c>
      <c r="E310" s="95"/>
      <c r="H310" s="96" t="s">
        <v>558</v>
      </c>
      <c r="I310" s="96"/>
      <c r="J310" s="108"/>
      <c r="K310" s="99">
        <f t="shared" si="4"/>
        <v>3</v>
      </c>
      <c r="M310" s="106" t="str">
        <f>HYPERLINK("EM-1.1.1_RRF221_media/BOROS-01_2D-053_01.png")</f>
        <v>EM-1.1.1_RRF221_media/BOROS-01_2D-053_01.png</v>
      </c>
    </row>
    <row r="311" spans="1:13" ht="40.200000000000003" x14ac:dyDescent="0.3">
      <c r="A311" s="107" t="s">
        <v>485</v>
      </c>
      <c r="B311" s="101" t="s">
        <v>13</v>
      </c>
      <c r="C311" s="102" t="s">
        <v>420</v>
      </c>
      <c r="D311" s="102" t="s">
        <v>473</v>
      </c>
      <c r="E311" s="95"/>
      <c r="H311" s="96" t="s">
        <v>558</v>
      </c>
      <c r="I311" s="103"/>
      <c r="J311" s="104"/>
      <c r="K311" s="99">
        <f t="shared" si="4"/>
        <v>3</v>
      </c>
      <c r="M311" s="106" t="str">
        <f>HYPERLINK("EM-1.1.1_RRF221_media/BOROS-01_2D-055_02.png")</f>
        <v>EM-1.1.1_RRF221_media/BOROS-01_2D-055_02.png</v>
      </c>
    </row>
    <row r="312" spans="1:13" ht="40.200000000000003" x14ac:dyDescent="0.3">
      <c r="A312" s="107" t="s">
        <v>486</v>
      </c>
      <c r="B312" s="101" t="s">
        <v>13</v>
      </c>
      <c r="C312" s="102" t="s">
        <v>420</v>
      </c>
      <c r="D312" s="102" t="s">
        <v>473</v>
      </c>
      <c r="E312" s="95"/>
      <c r="H312" s="96" t="s">
        <v>558</v>
      </c>
      <c r="I312" s="103"/>
      <c r="J312" s="104"/>
      <c r="K312" s="99">
        <f t="shared" si="4"/>
        <v>3</v>
      </c>
      <c r="M312" s="106" t="str">
        <f>HYPERLINK("EM-1.1.1_RRF221_media/BOROS-01_2D-060_01.png")</f>
        <v>EM-1.1.1_RRF221_media/BOROS-01_2D-060_01.png</v>
      </c>
    </row>
    <row r="313" spans="1:13" ht="40.200000000000003" x14ac:dyDescent="0.3">
      <c r="A313" s="107" t="s">
        <v>487</v>
      </c>
      <c r="B313" s="101" t="s">
        <v>13</v>
      </c>
      <c r="C313" s="102" t="s">
        <v>420</v>
      </c>
      <c r="D313" s="102" t="s">
        <v>473</v>
      </c>
      <c r="E313" s="95"/>
      <c r="H313" s="96" t="s">
        <v>558</v>
      </c>
      <c r="I313" s="103"/>
      <c r="J313" s="104"/>
      <c r="K313" s="99">
        <f t="shared" si="4"/>
        <v>3</v>
      </c>
      <c r="M313" s="106" t="str">
        <f>HYPERLINK("EM-1.1.1_RRF221_media/BOROS-01_2D-055_01.png")</f>
        <v>EM-1.1.1_RRF221_media/BOROS-01_2D-055_01.png</v>
      </c>
    </row>
    <row r="314" spans="1:13" ht="40.200000000000003" x14ac:dyDescent="0.3">
      <c r="A314" s="107" t="s">
        <v>488</v>
      </c>
      <c r="B314" s="101" t="s">
        <v>13</v>
      </c>
      <c r="C314" s="102" t="s">
        <v>420</v>
      </c>
      <c r="D314" s="102" t="s">
        <v>473</v>
      </c>
      <c r="E314" s="95"/>
      <c r="H314" s="96" t="s">
        <v>558</v>
      </c>
      <c r="I314" s="103"/>
      <c r="J314" s="104"/>
      <c r="K314" s="99">
        <f t="shared" si="4"/>
        <v>3</v>
      </c>
      <c r="M314" s="106" t="str">
        <f>HYPERLINK("EM-1.1.1_RRF221_media/BOROS-01_2D-058_01.png")</f>
        <v>EM-1.1.1_RRF221_media/BOROS-01_2D-058_01.png</v>
      </c>
    </row>
    <row r="315" spans="1:13" ht="40.200000000000003" x14ac:dyDescent="0.3">
      <c r="A315" s="107" t="s">
        <v>489</v>
      </c>
      <c r="B315" s="101" t="s">
        <v>13</v>
      </c>
      <c r="C315" s="102" t="s">
        <v>420</v>
      </c>
      <c r="D315" s="102" t="s">
        <v>473</v>
      </c>
      <c r="E315" s="95"/>
      <c r="H315" s="96" t="s">
        <v>558</v>
      </c>
      <c r="I315" s="96"/>
      <c r="J315" s="108"/>
      <c r="K315" s="99">
        <f t="shared" si="4"/>
        <v>3</v>
      </c>
      <c r="M315" s="106" t="str">
        <f>HYPERLINK("EM-1.1.1_RRF221_media/BOROS-01_2D-059_01.png")</f>
        <v>EM-1.1.1_RRF221_media/BOROS-01_2D-059_01.png</v>
      </c>
    </row>
    <row r="316" spans="1:13" ht="40.200000000000003" x14ac:dyDescent="0.3">
      <c r="A316" s="107" t="s">
        <v>490</v>
      </c>
      <c r="B316" s="101" t="s">
        <v>13</v>
      </c>
      <c r="C316" s="102" t="s">
        <v>420</v>
      </c>
      <c r="D316" s="102" t="s">
        <v>473</v>
      </c>
      <c r="E316" s="95"/>
      <c r="H316" s="96" t="s">
        <v>558</v>
      </c>
      <c r="I316" s="103"/>
      <c r="J316" s="104"/>
      <c r="K316" s="99">
        <f t="shared" si="4"/>
        <v>3</v>
      </c>
      <c r="M316" s="106" t="str">
        <f>HYPERLINK("EM-1.1.1_RRF221_media/BOROS-01_2D-057_02.png")</f>
        <v>EM-1.1.1_RRF221_media/BOROS-01_2D-057_02.png</v>
      </c>
    </row>
    <row r="317" spans="1:13" ht="40.200000000000003" x14ac:dyDescent="0.3">
      <c r="A317" s="107" t="s">
        <v>491</v>
      </c>
      <c r="B317" s="101" t="s">
        <v>13</v>
      </c>
      <c r="C317" s="102" t="s">
        <v>420</v>
      </c>
      <c r="D317" s="102" t="s">
        <v>473</v>
      </c>
      <c r="E317" s="95"/>
      <c r="H317" s="96" t="s">
        <v>558</v>
      </c>
      <c r="I317" s="103"/>
      <c r="J317" s="104"/>
      <c r="K317" s="99">
        <f t="shared" si="4"/>
        <v>3</v>
      </c>
      <c r="M317" s="106" t="str">
        <f>HYPERLINK("EM-1.1.1_RRF221_media/BOROS-01_2D-058_02.png")</f>
        <v>EM-1.1.1_RRF221_media/BOROS-01_2D-058_02.png</v>
      </c>
    </row>
    <row r="318" spans="1:13" ht="40.200000000000003" x14ac:dyDescent="0.3">
      <c r="A318" s="107" t="s">
        <v>492</v>
      </c>
      <c r="B318" s="101" t="s">
        <v>13</v>
      </c>
      <c r="C318" s="102" t="s">
        <v>420</v>
      </c>
      <c r="D318" s="102" t="s">
        <v>473</v>
      </c>
      <c r="E318" s="95"/>
      <c r="H318" s="96" t="s">
        <v>558</v>
      </c>
      <c r="I318" s="103"/>
      <c r="J318" s="104"/>
      <c r="K318" s="99">
        <f t="shared" si="4"/>
        <v>3</v>
      </c>
      <c r="M318" s="106" t="str">
        <f>HYPERLINK("EM-1.1.1_RRF221_media/BOROS-01_2D-054_02.png")</f>
        <v>EM-1.1.1_RRF221_media/BOROS-01_2D-054_02.png</v>
      </c>
    </row>
    <row r="319" spans="1:13" ht="40.200000000000003" x14ac:dyDescent="0.3">
      <c r="A319" s="107" t="s">
        <v>493</v>
      </c>
      <c r="B319" s="101" t="s">
        <v>17</v>
      </c>
      <c r="C319" s="102" t="s">
        <v>420</v>
      </c>
      <c r="D319" s="102" t="s">
        <v>494</v>
      </c>
      <c r="E319" s="95"/>
      <c r="H319" s="96" t="s">
        <v>558</v>
      </c>
      <c r="I319" s="103"/>
      <c r="J319" s="104"/>
      <c r="K319" s="99">
        <f t="shared" si="4"/>
        <v>1</v>
      </c>
      <c r="M319" s="106" t="str">
        <f>HYPERLINK("EM-1.1.1_RRF221_media/BOROS-01_SF-105.jpg")</f>
        <v>EM-1.1.1_RRF221_media/BOROS-01_SF-105.jpg</v>
      </c>
    </row>
    <row r="320" spans="1:13" ht="40.200000000000003" x14ac:dyDescent="0.3">
      <c r="A320" s="107" t="s">
        <v>495</v>
      </c>
      <c r="B320" s="101" t="s">
        <v>17</v>
      </c>
      <c r="C320" s="102" t="s">
        <v>420</v>
      </c>
      <c r="D320" s="102" t="s">
        <v>496</v>
      </c>
      <c r="E320" s="95"/>
      <c r="H320" s="96" t="s">
        <v>558</v>
      </c>
      <c r="I320" s="96"/>
      <c r="J320" s="108"/>
      <c r="K320" s="99">
        <f t="shared" si="4"/>
        <v>1</v>
      </c>
      <c r="M320" s="106" t="str">
        <f>HYPERLINK("EM-1.1.1_RRF221_media/BOROS-01_SF-116.jpg")</f>
        <v>EM-1.1.1_RRF221_media/BOROS-01_SF-116.jpg</v>
      </c>
    </row>
    <row r="321" spans="1:13" ht="40.200000000000003" x14ac:dyDescent="0.3">
      <c r="A321" s="107" t="s">
        <v>497</v>
      </c>
      <c r="B321" s="101" t="s">
        <v>17</v>
      </c>
      <c r="C321" s="102" t="s">
        <v>420</v>
      </c>
      <c r="D321" s="102" t="s">
        <v>498</v>
      </c>
      <c r="E321" s="95"/>
      <c r="H321" s="96" t="s">
        <v>558</v>
      </c>
      <c r="I321" s="103"/>
      <c r="J321" s="104"/>
      <c r="K321" s="99">
        <f t="shared" si="4"/>
        <v>1</v>
      </c>
      <c r="M321" s="106" t="str">
        <f>HYPERLINK("EM-1.1.1_RRF221_media/BOROS-01_SF-106.jpg")</f>
        <v>EM-1.1.1_RRF221_media/BOROS-01_SF-106.jpg</v>
      </c>
    </row>
    <row r="322" spans="1:13" ht="40.200000000000003" x14ac:dyDescent="0.3">
      <c r="A322" s="107" t="s">
        <v>499</v>
      </c>
      <c r="B322" s="101" t="s">
        <v>17</v>
      </c>
      <c r="C322" s="102" t="s">
        <v>420</v>
      </c>
      <c r="D322" s="102" t="s">
        <v>498</v>
      </c>
      <c r="E322" s="95"/>
      <c r="H322" s="96" t="s">
        <v>558</v>
      </c>
      <c r="I322" s="103"/>
      <c r="J322" s="104"/>
      <c r="K322" s="99">
        <f t="shared" si="4"/>
        <v>1</v>
      </c>
      <c r="M322" s="106" t="str">
        <f>HYPERLINK("EM-1.1.1_RRF221_media/BOROS-01_SF-107.jpg")</f>
        <v>EM-1.1.1_RRF221_media/BOROS-01_SF-107.jpg</v>
      </c>
    </row>
    <row r="323" spans="1:13" ht="40.200000000000003" x14ac:dyDescent="0.3">
      <c r="A323" s="107" t="s">
        <v>500</v>
      </c>
      <c r="B323" s="101" t="s">
        <v>13</v>
      </c>
      <c r="C323" s="102" t="s">
        <v>420</v>
      </c>
      <c r="D323" s="102" t="s">
        <v>501</v>
      </c>
      <c r="E323" s="95"/>
      <c r="H323" s="96" t="s">
        <v>558</v>
      </c>
      <c r="I323" s="103"/>
      <c r="J323" s="104"/>
      <c r="K323" s="99">
        <f t="shared" si="4"/>
        <v>3</v>
      </c>
      <c r="M323" s="66" t="str">
        <f>HYPERLINK("EM-1.1.1_RRF221_media/BOROS-01_2D-063.png")</f>
        <v>EM-1.1.1_RRF221_media/BOROS-01_2D-063.png</v>
      </c>
    </row>
    <row r="324" spans="1:13" ht="40.200000000000003" x14ac:dyDescent="0.3">
      <c r="A324" s="107" t="s">
        <v>502</v>
      </c>
      <c r="B324" s="101" t="s">
        <v>13</v>
      </c>
      <c r="C324" s="102" t="s">
        <v>420</v>
      </c>
      <c r="D324" s="102" t="s">
        <v>501</v>
      </c>
      <c r="E324" s="95"/>
      <c r="H324" s="96" t="s">
        <v>558</v>
      </c>
      <c r="I324" s="103"/>
      <c r="J324" s="104"/>
      <c r="K324" s="99">
        <f t="shared" si="4"/>
        <v>3</v>
      </c>
      <c r="M324" s="106" t="str">
        <f>HYPERLINK("EM-1.1.1_RRF221_media/BOROS-01_2D-062.png")</f>
        <v>EM-1.1.1_RRF221_media/BOROS-01_2D-062.png</v>
      </c>
    </row>
    <row r="325" spans="1:13" ht="40.200000000000003" x14ac:dyDescent="0.3">
      <c r="A325" s="107" t="s">
        <v>503</v>
      </c>
      <c r="B325" s="101" t="s">
        <v>13</v>
      </c>
      <c r="C325" s="102" t="s">
        <v>306</v>
      </c>
      <c r="D325" s="102" t="s">
        <v>504</v>
      </c>
      <c r="E325" s="95"/>
      <c r="H325" s="96" t="s">
        <v>558</v>
      </c>
      <c r="I325" s="96"/>
      <c r="J325" s="108"/>
      <c r="K325" s="99">
        <f t="shared" ref="K325:K388" si="5">IF(H325 ="x",IF(B325="Fotó", 1,IF(B325 = "2D grafika", 3, IF(B325 = "3D grafika", 8, IF(B325 ="2D animáció", IF(J325&lt;=10, 25, IF(J325&lt;=20, 28, IF(J325&lt;=30, 31, IF(J325&lt;=40, 34, IF(J325&lt;=50, 37, 37 + ROUNDUP((J325-50)/10, 0)*3))))),IF(B325="3D animáció", IF(J325&lt;=10, 40, IF(J325&lt;=20, 48, IF(J325&lt;=30, 56, IF(J325&lt;=40, 64, IF(J325&lt;=50, 72, 72 + ROUNDUP((J325-50)/10, 0)*8))))), IF(B325="Videó egyszereplős", ROUNDUP(J325/10,0)*2, IF(B325 ="Videó egyszereplős narrációval", ROUNDUP(J325/10,0)*3, IF(B325="Videó többszereplős", ROUNDUP(J325/10,0)*2, IF(B325 ="Videó többszereplős narrációval", ROUNDUP(J325/10,0)*4, IF(B325 ="Hangzóanyag", ROUNDUP(J325/10,0)*1, IF(B325="Interaktív animáció (szimuláció)",13,0))))))))))),0)</f>
        <v>3</v>
      </c>
      <c r="M325" s="106" t="str">
        <f>HYPERLINK("EM-1.1.1_RRF221_media/BOROS-01_2D-064.png")</f>
        <v>EM-1.1.1_RRF221_media/BOROS-01_2D-064.png</v>
      </c>
    </row>
    <row r="326" spans="1:13" ht="27" x14ac:dyDescent="0.3">
      <c r="A326" s="107" t="s">
        <v>505</v>
      </c>
      <c r="B326" s="101" t="s">
        <v>13</v>
      </c>
      <c r="C326" s="102" t="s">
        <v>306</v>
      </c>
      <c r="D326" s="102" t="s">
        <v>506</v>
      </c>
      <c r="E326" s="95"/>
      <c r="H326" s="96" t="s">
        <v>558</v>
      </c>
      <c r="I326" s="103"/>
      <c r="J326" s="104"/>
      <c r="K326" s="99">
        <f t="shared" si="5"/>
        <v>3</v>
      </c>
      <c r="M326" s="106" t="str">
        <f>HYPERLINK("EM-1.1.1_RRF221_media/BOROS-01_2D-065_01.png")</f>
        <v>EM-1.1.1_RRF221_media/BOROS-01_2D-065_01.png</v>
      </c>
    </row>
    <row r="327" spans="1:13" ht="27" x14ac:dyDescent="0.3">
      <c r="A327" s="107" t="s">
        <v>507</v>
      </c>
      <c r="B327" s="101" t="s">
        <v>13</v>
      </c>
      <c r="C327" s="102" t="s">
        <v>306</v>
      </c>
      <c r="D327" s="102" t="s">
        <v>506</v>
      </c>
      <c r="E327" s="95"/>
      <c r="H327" s="96" t="s">
        <v>558</v>
      </c>
      <c r="I327" s="103"/>
      <c r="J327" s="104"/>
      <c r="K327" s="99">
        <f t="shared" si="5"/>
        <v>3</v>
      </c>
      <c r="M327" s="106" t="str">
        <f>HYPERLINK("EM-1.1.1_RRF221_media/BOROS-01_2D-065_03.png")</f>
        <v>EM-1.1.1_RRF221_media/BOROS-01_2D-065_03.png</v>
      </c>
    </row>
    <row r="328" spans="1:13" ht="27" x14ac:dyDescent="0.3">
      <c r="A328" s="107" t="s">
        <v>508</v>
      </c>
      <c r="B328" s="101" t="s">
        <v>13</v>
      </c>
      <c r="C328" s="102" t="s">
        <v>306</v>
      </c>
      <c r="D328" s="102" t="s">
        <v>506</v>
      </c>
      <c r="E328" s="95"/>
      <c r="H328" s="96" t="s">
        <v>558</v>
      </c>
      <c r="I328" s="103"/>
      <c r="J328" s="104"/>
      <c r="K328" s="99">
        <f t="shared" si="5"/>
        <v>3</v>
      </c>
      <c r="M328" s="106" t="str">
        <f>HYPERLINK("EM-1.1.1_RRF221_media/BOROS-01_2D-065_06.png")</f>
        <v>EM-1.1.1_RRF221_media/BOROS-01_2D-065_06.png</v>
      </c>
    </row>
    <row r="329" spans="1:13" ht="27" x14ac:dyDescent="0.3">
      <c r="A329" s="107" t="s">
        <v>509</v>
      </c>
      <c r="B329" s="101" t="s">
        <v>13</v>
      </c>
      <c r="C329" s="102" t="s">
        <v>306</v>
      </c>
      <c r="D329" s="102" t="s">
        <v>506</v>
      </c>
      <c r="E329" s="95"/>
      <c r="H329" s="96" t="s">
        <v>558</v>
      </c>
      <c r="I329" s="103"/>
      <c r="J329" s="104"/>
      <c r="K329" s="99">
        <f t="shared" si="5"/>
        <v>3</v>
      </c>
      <c r="M329" s="106" t="str">
        <f>HYPERLINK("EM-1.1.1_RRF221_media/BOROS-01_2D-065_02.png")</f>
        <v>EM-1.1.1_RRF221_media/BOROS-01_2D-065_02.png</v>
      </c>
    </row>
    <row r="330" spans="1:13" ht="27" x14ac:dyDescent="0.3">
      <c r="A330" s="107" t="s">
        <v>510</v>
      </c>
      <c r="B330" s="101" t="s">
        <v>13</v>
      </c>
      <c r="C330" s="102" t="s">
        <v>306</v>
      </c>
      <c r="D330" s="102" t="s">
        <v>506</v>
      </c>
      <c r="E330" s="95"/>
      <c r="H330" s="96" t="s">
        <v>558</v>
      </c>
      <c r="I330" s="96"/>
      <c r="J330" s="108"/>
      <c r="K330" s="99">
        <f t="shared" si="5"/>
        <v>3</v>
      </c>
      <c r="M330" s="106" t="str">
        <f>HYPERLINK("EM-1.1.1_RRF221_media/BOROS-01_2D-065_04.png")</f>
        <v>EM-1.1.1_RRF221_media/BOROS-01_2D-065_04.png</v>
      </c>
    </row>
    <row r="331" spans="1:13" ht="27" x14ac:dyDescent="0.3">
      <c r="A331" s="107" t="s">
        <v>511</v>
      </c>
      <c r="B331" s="101" t="s">
        <v>13</v>
      </c>
      <c r="C331" s="102" t="s">
        <v>306</v>
      </c>
      <c r="D331" s="102" t="s">
        <v>506</v>
      </c>
      <c r="E331" s="95"/>
      <c r="H331" s="96" t="s">
        <v>558</v>
      </c>
      <c r="I331" s="103"/>
      <c r="J331" s="104"/>
      <c r="K331" s="99">
        <f t="shared" si="5"/>
        <v>3</v>
      </c>
      <c r="M331" s="106" t="str">
        <f>HYPERLINK("EM-1.1.1_RRF221_media/BOROS-01_2D-065_05.png")</f>
        <v>EM-1.1.1_RRF221_media/BOROS-01_2D-065_05.png</v>
      </c>
    </row>
    <row r="332" spans="1:13" ht="27" x14ac:dyDescent="0.3">
      <c r="A332" s="107" t="s">
        <v>512</v>
      </c>
      <c r="B332" s="101" t="s">
        <v>13</v>
      </c>
      <c r="C332" s="102" t="s">
        <v>306</v>
      </c>
      <c r="D332" s="102" t="s">
        <v>243</v>
      </c>
      <c r="E332" s="95"/>
      <c r="H332" s="96" t="s">
        <v>558</v>
      </c>
      <c r="I332" s="103"/>
      <c r="J332" s="104"/>
      <c r="K332" s="99">
        <f t="shared" si="5"/>
        <v>3</v>
      </c>
      <c r="M332" s="106" t="str">
        <f>HYPERLINK("EM-1.1.1_RRF221_media/BOROS-01_2D-068.png")</f>
        <v>EM-1.1.1_RRF221_media/BOROS-01_2D-068.png</v>
      </c>
    </row>
    <row r="333" spans="1:13" ht="27" x14ac:dyDescent="0.3">
      <c r="A333" s="107" t="s">
        <v>513</v>
      </c>
      <c r="B333" s="101" t="s">
        <v>13</v>
      </c>
      <c r="C333" s="102" t="s">
        <v>306</v>
      </c>
      <c r="D333" s="102" t="s">
        <v>243</v>
      </c>
      <c r="E333" s="95"/>
      <c r="H333" s="96" t="s">
        <v>558</v>
      </c>
      <c r="I333" s="103"/>
      <c r="J333" s="104"/>
      <c r="K333" s="99">
        <f t="shared" si="5"/>
        <v>3</v>
      </c>
      <c r="M333" s="106" t="str">
        <f>HYPERLINK("EM-1.1.1_RRF221_media/BOROS-01_2D-066.png")</f>
        <v>EM-1.1.1_RRF221_media/BOROS-01_2D-066.png</v>
      </c>
    </row>
    <row r="334" spans="1:13" ht="27" x14ac:dyDescent="0.3">
      <c r="A334" s="107" t="s">
        <v>514</v>
      </c>
      <c r="B334" s="101" t="s">
        <v>13</v>
      </c>
      <c r="C334" s="102" t="s">
        <v>306</v>
      </c>
      <c r="D334" s="102" t="s">
        <v>243</v>
      </c>
      <c r="E334" s="95"/>
      <c r="H334" s="96" t="s">
        <v>558</v>
      </c>
      <c r="I334" s="103"/>
      <c r="J334" s="104"/>
      <c r="K334" s="99">
        <f t="shared" si="5"/>
        <v>3</v>
      </c>
      <c r="M334" s="106" t="str">
        <f>HYPERLINK("EM-1.1.1_RRF221_media/BOROS-01_2D-069.png")</f>
        <v>EM-1.1.1_RRF221_media/BOROS-01_2D-069.png</v>
      </c>
    </row>
    <row r="335" spans="1:13" ht="27" x14ac:dyDescent="0.3">
      <c r="A335" s="107" t="s">
        <v>515</v>
      </c>
      <c r="B335" s="101" t="s">
        <v>13</v>
      </c>
      <c r="C335" s="102" t="s">
        <v>306</v>
      </c>
      <c r="D335" s="102" t="s">
        <v>243</v>
      </c>
      <c r="E335" s="95"/>
      <c r="G335" s="109" t="s">
        <v>562</v>
      </c>
      <c r="H335" s="96" t="s">
        <v>558</v>
      </c>
      <c r="I335" s="96"/>
      <c r="J335" s="108"/>
      <c r="K335" s="99">
        <f t="shared" si="5"/>
        <v>3</v>
      </c>
      <c r="M335" s="106" t="str">
        <f>HYPERLINK("EM-1.1.1_RRF221_media/BOROS-01_2D-067.png")</f>
        <v>EM-1.1.1_RRF221_media/BOROS-01_2D-067.png</v>
      </c>
    </row>
    <row r="336" spans="1:13" ht="40.200000000000003" x14ac:dyDescent="0.3">
      <c r="A336" s="107" t="s">
        <v>516</v>
      </c>
      <c r="B336" s="101" t="s">
        <v>11</v>
      </c>
      <c r="C336" s="102" t="s">
        <v>517</v>
      </c>
      <c r="D336" s="102" t="s">
        <v>74</v>
      </c>
      <c r="E336" s="95"/>
      <c r="H336" s="96" t="s">
        <v>558</v>
      </c>
      <c r="I336" s="103"/>
      <c r="J336" s="104"/>
      <c r="K336" s="99">
        <f t="shared" si="5"/>
        <v>25</v>
      </c>
      <c r="M336" s="106" t="str">
        <f>HYPERLINK("EM-1.1.1_RRF221_media/BOROS-01_2DA-019.png")</f>
        <v>EM-1.1.1_RRF221_media/BOROS-01_2DA-019.png</v>
      </c>
    </row>
    <row r="337" spans="1:13" ht="40.200000000000003" x14ac:dyDescent="0.3">
      <c r="A337" s="107" t="s">
        <v>518</v>
      </c>
      <c r="B337" s="101" t="s">
        <v>13</v>
      </c>
      <c r="C337" s="102" t="s">
        <v>517</v>
      </c>
      <c r="D337" s="102" t="s">
        <v>519</v>
      </c>
      <c r="E337" s="95"/>
      <c r="H337" s="96" t="s">
        <v>558</v>
      </c>
      <c r="I337" s="103"/>
      <c r="J337" s="104"/>
      <c r="K337" s="99">
        <f t="shared" si="5"/>
        <v>3</v>
      </c>
      <c r="M337" s="106" t="str">
        <f>HYPERLINK("EM-1.1.1_RRF221_media/BOROS-01_2D-070.png")</f>
        <v>EM-1.1.1_RRF221_media/BOROS-01_2D-070.png</v>
      </c>
    </row>
    <row r="338" spans="1:13" ht="40.200000000000003" x14ac:dyDescent="0.3">
      <c r="A338" s="107" t="s">
        <v>520</v>
      </c>
      <c r="B338" s="101" t="s">
        <v>13</v>
      </c>
      <c r="C338" s="102" t="s">
        <v>517</v>
      </c>
      <c r="D338" s="102" t="s">
        <v>521</v>
      </c>
      <c r="E338" s="95"/>
      <c r="H338" s="96" t="s">
        <v>558</v>
      </c>
      <c r="I338" s="103"/>
      <c r="J338" s="104"/>
      <c r="K338" s="99">
        <f t="shared" si="5"/>
        <v>3</v>
      </c>
      <c r="M338" s="106" t="str">
        <f>HYPERLINK("EM-1.1.1_RRF221_media/BOROS-01_2D-071.png")</f>
        <v>EM-1.1.1_RRF221_media/BOROS-01_2D-071.png</v>
      </c>
    </row>
    <row r="339" spans="1:13" ht="40.200000000000003" x14ac:dyDescent="0.3">
      <c r="A339" s="107" t="s">
        <v>522</v>
      </c>
      <c r="B339" s="101" t="s">
        <v>13</v>
      </c>
      <c r="C339" s="102" t="s">
        <v>517</v>
      </c>
      <c r="D339" s="102" t="s">
        <v>521</v>
      </c>
      <c r="E339" s="95"/>
      <c r="H339" s="96" t="s">
        <v>558</v>
      </c>
      <c r="I339" s="103"/>
      <c r="J339" s="104"/>
      <c r="K339" s="99">
        <f t="shared" si="5"/>
        <v>3</v>
      </c>
      <c r="M339" s="106" t="str">
        <f>HYPERLINK("EM-1.1.1_RRF221_media/BOROS-01_2D-072.png")</f>
        <v>EM-1.1.1_RRF221_media/BOROS-01_2D-072.png</v>
      </c>
    </row>
    <row r="340" spans="1:13" ht="40.200000000000003" x14ac:dyDescent="0.3">
      <c r="A340" s="107" t="s">
        <v>523</v>
      </c>
      <c r="B340" s="101" t="s">
        <v>17</v>
      </c>
      <c r="C340" s="102" t="s">
        <v>517</v>
      </c>
      <c r="D340" s="102" t="s">
        <v>524</v>
      </c>
      <c r="E340" s="95"/>
      <c r="H340" s="96" t="s">
        <v>558</v>
      </c>
      <c r="I340" s="96"/>
      <c r="J340" s="108"/>
      <c r="K340" s="99">
        <f t="shared" si="5"/>
        <v>1</v>
      </c>
      <c r="M340" s="106" t="str">
        <f>HYPERLINK("EM-1.1.1_RRF221_media/BOROS-01_SF-108.jpg")</f>
        <v>EM-1.1.1_RRF221_media/BOROS-01_SF-108.jpg</v>
      </c>
    </row>
    <row r="341" spans="1:13" ht="40.200000000000003" x14ac:dyDescent="0.3">
      <c r="A341" s="107" t="s">
        <v>525</v>
      </c>
      <c r="B341" s="101" t="s">
        <v>17</v>
      </c>
      <c r="C341" s="102" t="s">
        <v>517</v>
      </c>
      <c r="D341" s="102" t="s">
        <v>524</v>
      </c>
      <c r="E341" s="95"/>
      <c r="H341" s="96" t="s">
        <v>558</v>
      </c>
      <c r="I341" s="103"/>
      <c r="J341" s="104"/>
      <c r="K341" s="99">
        <f t="shared" si="5"/>
        <v>1</v>
      </c>
      <c r="M341" s="106" t="str">
        <f>HYPERLINK("EM-1.1.1_RRF221_media/BOROS-01_SF-114.jpg")</f>
        <v>EM-1.1.1_RRF221_media/BOROS-01_SF-114.jpg</v>
      </c>
    </row>
    <row r="342" spans="1:13" ht="40.200000000000003" x14ac:dyDescent="0.3">
      <c r="A342" s="107" t="s">
        <v>526</v>
      </c>
      <c r="B342" s="101" t="s">
        <v>17</v>
      </c>
      <c r="C342" s="102" t="s">
        <v>517</v>
      </c>
      <c r="D342" s="102" t="s">
        <v>524</v>
      </c>
      <c r="E342" s="95"/>
      <c r="H342" s="96" t="s">
        <v>558</v>
      </c>
      <c r="I342" s="103"/>
      <c r="J342" s="104"/>
      <c r="K342" s="99">
        <f t="shared" si="5"/>
        <v>1</v>
      </c>
      <c r="M342" s="106" t="str">
        <f>HYPERLINK("EM-1.1.1_RRF221_media/BOROS-01_SF-109.jpg")</f>
        <v>EM-1.1.1_RRF221_media/BOROS-01_SF-109.jpg</v>
      </c>
    </row>
    <row r="343" spans="1:13" ht="53.4" x14ac:dyDescent="0.3">
      <c r="A343" s="107" t="s">
        <v>527</v>
      </c>
      <c r="B343" s="101" t="s">
        <v>17</v>
      </c>
      <c r="C343" s="102" t="s">
        <v>517</v>
      </c>
      <c r="D343" s="102" t="s">
        <v>528</v>
      </c>
      <c r="E343" s="95"/>
      <c r="H343" s="96" t="s">
        <v>558</v>
      </c>
      <c r="I343" s="103"/>
      <c r="J343" s="104"/>
      <c r="K343" s="99">
        <f t="shared" si="5"/>
        <v>1</v>
      </c>
      <c r="M343" s="106" t="str">
        <f>HYPERLINK("EM-1.1.1_RRF221_media/BOROS-01_SF-110.jpg")</f>
        <v>EM-1.1.1_RRF221_media/BOROS-01_SF-110.jpg</v>
      </c>
    </row>
    <row r="344" spans="1:13" ht="53.4" x14ac:dyDescent="0.3">
      <c r="A344" s="107" t="s">
        <v>529</v>
      </c>
      <c r="B344" s="101" t="s">
        <v>13</v>
      </c>
      <c r="C344" s="102" t="s">
        <v>517</v>
      </c>
      <c r="D344" s="102" t="s">
        <v>530</v>
      </c>
      <c r="E344" s="95"/>
      <c r="H344" s="96" t="s">
        <v>558</v>
      </c>
      <c r="I344" s="103"/>
      <c r="J344" s="104"/>
      <c r="K344" s="99">
        <f t="shared" si="5"/>
        <v>3</v>
      </c>
      <c r="M344" s="106" t="str">
        <f>HYPERLINK("EM-1.1.1_RRF221_media/BOROS-01_2DA-020_borito.png")</f>
        <v>EM-1.1.1_RRF221_media/BOROS-01_2DA-020_borito.png</v>
      </c>
    </row>
    <row r="345" spans="1:13" ht="53.4" x14ac:dyDescent="0.3">
      <c r="A345" s="107" t="s">
        <v>531</v>
      </c>
      <c r="B345" s="101" t="s">
        <v>11</v>
      </c>
      <c r="C345" s="102" t="s">
        <v>517</v>
      </c>
      <c r="D345" s="102" t="s">
        <v>530</v>
      </c>
      <c r="E345" s="95"/>
      <c r="H345" s="96" t="s">
        <v>558</v>
      </c>
      <c r="I345" s="96"/>
      <c r="J345" s="108">
        <v>80</v>
      </c>
      <c r="K345" s="99">
        <f t="shared" si="5"/>
        <v>46</v>
      </c>
      <c r="M345" s="106" t="str">
        <f>HYPERLINK("EM-1.1.1_RRF221_media/BOROS-01_2DA-020.mp4")</f>
        <v>EM-1.1.1_RRF221_media/BOROS-01_2DA-020.mp4</v>
      </c>
    </row>
    <row r="346" spans="1:13" ht="39" customHeight="1" x14ac:dyDescent="0.3">
      <c r="A346" s="107" t="s">
        <v>532</v>
      </c>
      <c r="B346" s="101" t="s">
        <v>13</v>
      </c>
      <c r="C346" s="102" t="s">
        <v>517</v>
      </c>
      <c r="D346" s="102" t="s">
        <v>533</v>
      </c>
      <c r="E346" s="95"/>
      <c r="H346" s="96" t="s">
        <v>558</v>
      </c>
      <c r="I346" s="103"/>
      <c r="J346" s="104"/>
      <c r="K346" s="99">
        <f t="shared" si="5"/>
        <v>3</v>
      </c>
      <c r="M346" s="106" t="str">
        <f>HYPERLINK("EM-1.1.1_RRF221_media/BOROS-01_2D-073_06.png")</f>
        <v>EM-1.1.1_RRF221_media/BOROS-01_2D-073_06.png</v>
      </c>
    </row>
    <row r="347" spans="1:13" ht="39" customHeight="1" x14ac:dyDescent="0.3">
      <c r="A347" s="107" t="s">
        <v>534</v>
      </c>
      <c r="B347" s="101" t="s">
        <v>13</v>
      </c>
      <c r="C347" s="102" t="s">
        <v>517</v>
      </c>
      <c r="D347" s="102" t="s">
        <v>533</v>
      </c>
      <c r="E347" s="95"/>
      <c r="H347" s="96" t="s">
        <v>558</v>
      </c>
      <c r="I347" s="103"/>
      <c r="J347" s="104"/>
      <c r="K347" s="99">
        <f t="shared" si="5"/>
        <v>3</v>
      </c>
      <c r="M347" s="106" t="str">
        <f>HYPERLINK("EM-1.1.1_RRF221_media/BOROS-01_2D-073_07.png")</f>
        <v>EM-1.1.1_RRF221_media/BOROS-01_2D-073_07.png</v>
      </c>
    </row>
    <row r="348" spans="1:13" ht="39" customHeight="1" x14ac:dyDescent="0.3">
      <c r="A348" s="107" t="s">
        <v>535</v>
      </c>
      <c r="B348" s="101" t="s">
        <v>13</v>
      </c>
      <c r="C348" s="102" t="s">
        <v>517</v>
      </c>
      <c r="D348" s="102" t="s">
        <v>533</v>
      </c>
      <c r="E348" s="95"/>
      <c r="H348" s="96" t="s">
        <v>558</v>
      </c>
      <c r="I348" s="103"/>
      <c r="J348" s="104"/>
      <c r="K348" s="99">
        <f t="shared" si="5"/>
        <v>3</v>
      </c>
      <c r="M348" s="106" t="str">
        <f>HYPERLINK("EM-1.1.1_RRF221_media/BOROS-01_2D-073_05.png")</f>
        <v>EM-1.1.1_RRF221_media/BOROS-01_2D-073_05.png</v>
      </c>
    </row>
    <row r="349" spans="1:13" ht="39" customHeight="1" x14ac:dyDescent="0.3">
      <c r="A349" s="107" t="s">
        <v>536</v>
      </c>
      <c r="B349" s="101" t="s">
        <v>13</v>
      </c>
      <c r="C349" s="102" t="s">
        <v>517</v>
      </c>
      <c r="D349" s="102" t="s">
        <v>533</v>
      </c>
      <c r="E349" s="95"/>
      <c r="H349" s="96" t="s">
        <v>558</v>
      </c>
      <c r="I349" s="103"/>
      <c r="J349" s="104"/>
      <c r="K349" s="99">
        <f t="shared" si="5"/>
        <v>3</v>
      </c>
      <c r="M349" s="106" t="str">
        <f>HYPERLINK("EM-1.1.1_RRF221_media/BOROS-01_2D-073_03.png")</f>
        <v>EM-1.1.1_RRF221_media/BOROS-01_2D-073_03.png</v>
      </c>
    </row>
    <row r="350" spans="1:13" ht="39" customHeight="1" x14ac:dyDescent="0.3">
      <c r="A350" s="107" t="s">
        <v>537</v>
      </c>
      <c r="B350" s="101" t="s">
        <v>13</v>
      </c>
      <c r="C350" s="102" t="s">
        <v>517</v>
      </c>
      <c r="D350" s="102" t="s">
        <v>533</v>
      </c>
      <c r="E350" s="95"/>
      <c r="H350" s="96" t="s">
        <v>558</v>
      </c>
      <c r="I350" s="96"/>
      <c r="J350" s="108"/>
      <c r="K350" s="99">
        <f t="shared" si="5"/>
        <v>3</v>
      </c>
      <c r="M350" s="106" t="str">
        <f>HYPERLINK("EM-1.1.1_RRF221_media/BOROS-01_2D-073_01.png")</f>
        <v>EM-1.1.1_RRF221_media/BOROS-01_2D-073_01.png</v>
      </c>
    </row>
    <row r="351" spans="1:13" ht="39" customHeight="1" x14ac:dyDescent="0.3">
      <c r="A351" s="107" t="s">
        <v>538</v>
      </c>
      <c r="B351" s="101" t="s">
        <v>13</v>
      </c>
      <c r="C351" s="102" t="s">
        <v>517</v>
      </c>
      <c r="D351" s="102" t="s">
        <v>533</v>
      </c>
      <c r="E351" s="95"/>
      <c r="H351" s="96" t="s">
        <v>558</v>
      </c>
      <c r="I351" s="103"/>
      <c r="J351" s="104"/>
      <c r="K351" s="99">
        <f t="shared" si="5"/>
        <v>3</v>
      </c>
      <c r="M351" s="106" t="str">
        <f>HYPERLINK("EM-1.1.1_RRF221_media/BOROS-01_2D-073_04.png")</f>
        <v>EM-1.1.1_RRF221_media/BOROS-01_2D-073_04.png</v>
      </c>
    </row>
    <row r="352" spans="1:13" ht="39" customHeight="1" x14ac:dyDescent="0.3">
      <c r="A352" s="107" t="s">
        <v>539</v>
      </c>
      <c r="B352" s="101" t="s">
        <v>13</v>
      </c>
      <c r="C352" s="102" t="s">
        <v>517</v>
      </c>
      <c r="D352" s="102" t="s">
        <v>533</v>
      </c>
      <c r="E352" s="95"/>
      <c r="H352" s="96" t="s">
        <v>558</v>
      </c>
      <c r="I352" s="103"/>
      <c r="J352" s="104"/>
      <c r="K352" s="99">
        <f t="shared" si="5"/>
        <v>3</v>
      </c>
      <c r="M352" s="106" t="str">
        <f>HYPERLINK("EM-1.1.1_RRF221_media/BOROS-01_2D-073_02.png")</f>
        <v>EM-1.1.1_RRF221_media/BOROS-01_2D-073_02.png</v>
      </c>
    </row>
    <row r="353" spans="1:13" ht="40.200000000000003" x14ac:dyDescent="0.3">
      <c r="A353" s="107" t="s">
        <v>540</v>
      </c>
      <c r="B353" s="101" t="s">
        <v>17</v>
      </c>
      <c r="C353" s="102" t="s">
        <v>517</v>
      </c>
      <c r="D353" s="102" t="s">
        <v>541</v>
      </c>
      <c r="E353" s="95"/>
      <c r="G353" s="109" t="s">
        <v>563</v>
      </c>
      <c r="H353" s="96" t="s">
        <v>558</v>
      </c>
      <c r="I353" s="103"/>
      <c r="J353" s="104"/>
      <c r="K353" s="99">
        <f t="shared" si="5"/>
        <v>1</v>
      </c>
      <c r="M353" s="106" t="str">
        <f>HYPERLINK("EM-1.1.1_RRF221_media/BOROS-01_SF-111.jpg")</f>
        <v>EM-1.1.1_RRF221_media/BOROS-01_SF-111.jpg</v>
      </c>
    </row>
    <row r="354" spans="1:13" ht="40.200000000000003" x14ac:dyDescent="0.3">
      <c r="A354" s="107" t="s">
        <v>542</v>
      </c>
      <c r="B354" s="101" t="s">
        <v>13</v>
      </c>
      <c r="C354" s="102" t="s">
        <v>517</v>
      </c>
      <c r="D354" s="102" t="s">
        <v>543</v>
      </c>
      <c r="E354" s="95"/>
      <c r="H354" s="96" t="s">
        <v>558</v>
      </c>
      <c r="I354" s="103"/>
      <c r="J354" s="104"/>
      <c r="K354" s="99">
        <f t="shared" si="5"/>
        <v>3</v>
      </c>
      <c r="M354" s="106" t="str">
        <f>HYPERLINK("EM-1.1.1_RRF221_media/BOROS-01_2D-075.png")</f>
        <v>EM-1.1.1_RRF221_media/BOROS-01_2D-075.png</v>
      </c>
    </row>
    <row r="355" spans="1:13" ht="40.200000000000003" x14ac:dyDescent="0.3">
      <c r="A355" s="107" t="s">
        <v>544</v>
      </c>
      <c r="B355" s="101" t="s">
        <v>17</v>
      </c>
      <c r="C355" s="102" t="s">
        <v>517</v>
      </c>
      <c r="D355" s="102" t="s">
        <v>545</v>
      </c>
      <c r="E355" s="95"/>
      <c r="H355" s="96" t="s">
        <v>558</v>
      </c>
      <c r="I355" s="96"/>
      <c r="J355" s="108"/>
      <c r="K355" s="99">
        <f t="shared" si="5"/>
        <v>1</v>
      </c>
      <c r="M355" s="106" t="str">
        <f>HYPERLINK("EM-1.1.1_RRF221_media/BOROS-01_SF-112.jpg")</f>
        <v>EM-1.1.1_RRF221_media/BOROS-01_SF-112.jpg</v>
      </c>
    </row>
    <row r="356" spans="1:13" ht="40.200000000000003" x14ac:dyDescent="0.3">
      <c r="A356" s="107" t="s">
        <v>546</v>
      </c>
      <c r="B356" s="101" t="s">
        <v>13</v>
      </c>
      <c r="C356" s="102" t="s">
        <v>517</v>
      </c>
      <c r="D356" s="102" t="s">
        <v>547</v>
      </c>
      <c r="E356" s="95"/>
      <c r="H356" s="96" t="s">
        <v>558</v>
      </c>
      <c r="I356" s="103"/>
      <c r="J356" s="104"/>
      <c r="K356" s="99">
        <f t="shared" si="5"/>
        <v>3</v>
      </c>
      <c r="M356" s="106" t="str">
        <f>HYPERLINK("EM-1.1.1_RRF221_media/BOROS-01_2D-078.png")</f>
        <v>EM-1.1.1_RRF221_media/BOROS-01_2D-078.png</v>
      </c>
    </row>
    <row r="357" spans="1:13" ht="40.200000000000003" x14ac:dyDescent="0.3">
      <c r="A357" s="107" t="s">
        <v>548</v>
      </c>
      <c r="B357" s="101" t="s">
        <v>17</v>
      </c>
      <c r="C357" s="102" t="s">
        <v>517</v>
      </c>
      <c r="D357" s="102" t="s">
        <v>549</v>
      </c>
      <c r="E357" s="95"/>
      <c r="H357" s="96" t="s">
        <v>558</v>
      </c>
      <c r="I357" s="103"/>
      <c r="J357" s="104"/>
      <c r="K357" s="99">
        <f t="shared" si="5"/>
        <v>1</v>
      </c>
      <c r="M357" s="106" t="str">
        <f>HYPERLINK("EM-1.1.1_RRF221_media/BOROS-01_SF-113.jpg")</f>
        <v>EM-1.1.1_RRF221_media/BOROS-01_SF-113.jpg</v>
      </c>
    </row>
    <row r="358" spans="1:13" ht="40.200000000000003" x14ac:dyDescent="0.3">
      <c r="A358" s="107" t="s">
        <v>550</v>
      </c>
      <c r="B358" s="101" t="s">
        <v>11</v>
      </c>
      <c r="C358" s="102" t="s">
        <v>517</v>
      </c>
      <c r="D358" s="102" t="s">
        <v>551</v>
      </c>
      <c r="E358" s="95"/>
      <c r="G358" s="109" t="s">
        <v>564</v>
      </c>
      <c r="H358" s="96"/>
      <c r="I358" s="103"/>
      <c r="J358" s="104"/>
      <c r="K358" s="99">
        <f t="shared" si="5"/>
        <v>0</v>
      </c>
      <c r="M358" s="106" t="str">
        <f>HYPERLINK("EM-1.1.1_RRF221_media/BOROS-01_2DA-021.mp4")</f>
        <v>EM-1.1.1_RRF221_media/BOROS-01_2DA-021.mp4</v>
      </c>
    </row>
    <row r="359" spans="1:13" ht="40.200000000000003" x14ac:dyDescent="0.3">
      <c r="A359" s="107" t="s">
        <v>552</v>
      </c>
      <c r="B359" s="101" t="s">
        <v>13</v>
      </c>
      <c r="C359" s="102" t="s">
        <v>517</v>
      </c>
      <c r="D359" s="102" t="s">
        <v>551</v>
      </c>
      <c r="E359" s="95"/>
      <c r="G359" s="109" t="s">
        <v>564</v>
      </c>
      <c r="H359" s="96"/>
      <c r="I359" s="103"/>
      <c r="J359" s="104"/>
      <c r="K359" s="99">
        <f t="shared" si="5"/>
        <v>0</v>
      </c>
      <c r="M359" s="106" t="str">
        <f>HYPERLINK("EM-1.1.1_RRF221_media/BOROS-01_2DA-021_borito.png")</f>
        <v>EM-1.1.1_RRF221_media/BOROS-01_2DA-021_borito.png</v>
      </c>
    </row>
    <row r="360" spans="1:13" ht="40.200000000000003" x14ac:dyDescent="0.3">
      <c r="A360" s="100" t="s">
        <v>553</v>
      </c>
      <c r="B360" s="101" t="s">
        <v>17</v>
      </c>
      <c r="C360" s="102" t="s">
        <v>517</v>
      </c>
      <c r="D360" s="102" t="s">
        <v>243</v>
      </c>
      <c r="E360" s="95"/>
      <c r="H360" s="96" t="s">
        <v>558</v>
      </c>
      <c r="I360" s="103"/>
      <c r="J360" s="104"/>
      <c r="K360" s="99">
        <f t="shared" si="5"/>
        <v>1</v>
      </c>
      <c r="M360" s="106" t="str">
        <f>HYPERLINK("EM-1.1.1_RRF221_media/BOROS-01_SF-115.jpg")</f>
        <v>EM-1.1.1_RRF221_media/BOROS-01_SF-115.jpg</v>
      </c>
    </row>
    <row r="361" spans="1:13" ht="40.200000000000003" x14ac:dyDescent="0.3">
      <c r="A361" s="100" t="s">
        <v>554</v>
      </c>
      <c r="B361" s="101" t="s">
        <v>13</v>
      </c>
      <c r="C361" s="102" t="s">
        <v>517</v>
      </c>
      <c r="D361" s="102" t="s">
        <v>243</v>
      </c>
      <c r="E361" s="95"/>
      <c r="H361" s="96" t="s">
        <v>558</v>
      </c>
      <c r="I361" s="103"/>
      <c r="J361" s="104"/>
      <c r="K361" s="99">
        <f t="shared" si="5"/>
        <v>3</v>
      </c>
      <c r="M361" s="106" t="str">
        <f>HYPERLINK("EM-1.1.1_RRF221_media/BOROS-01_2D-076.png")</f>
        <v>EM-1.1.1_RRF221_media/BOROS-01_2D-076.png</v>
      </c>
    </row>
    <row r="362" spans="1:13" ht="40.200000000000003" x14ac:dyDescent="0.3">
      <c r="A362" s="100" t="s">
        <v>555</v>
      </c>
      <c r="B362" s="101" t="s">
        <v>13</v>
      </c>
      <c r="C362" s="102" t="s">
        <v>517</v>
      </c>
      <c r="D362" s="102" t="s">
        <v>243</v>
      </c>
      <c r="E362" s="95"/>
      <c r="G362" s="109" t="s">
        <v>565</v>
      </c>
      <c r="H362" s="96" t="s">
        <v>558</v>
      </c>
      <c r="I362" s="103"/>
      <c r="J362" s="104"/>
      <c r="K362" s="99">
        <f t="shared" si="5"/>
        <v>3</v>
      </c>
      <c r="M362" s="106" t="str">
        <f>HYPERLINK("EM-1.1.1_RRF221_media/BOROS-01_2D-077.png")</f>
        <v>EM-1.1.1_RRF221_media/BOROS-01_2D-077.png</v>
      </c>
    </row>
    <row r="363" spans="1:13" ht="15.6" x14ac:dyDescent="0.3">
      <c r="A363" s="100"/>
      <c r="B363" s="101"/>
      <c r="C363" s="102"/>
      <c r="D363" s="102"/>
      <c r="E363" s="95"/>
      <c r="H363" s="96"/>
      <c r="I363" s="103"/>
      <c r="J363" s="104"/>
      <c r="K363" s="99">
        <f t="shared" si="5"/>
        <v>0</v>
      </c>
      <c r="M363" s="106"/>
    </row>
    <row r="364" spans="1:13" ht="15.6" x14ac:dyDescent="0.3">
      <c r="A364" s="107"/>
      <c r="B364" s="101"/>
      <c r="C364" s="102"/>
      <c r="D364" s="102"/>
      <c r="E364" s="95"/>
      <c r="H364" s="96"/>
      <c r="I364" s="96"/>
      <c r="J364" s="108"/>
      <c r="K364" s="99">
        <f t="shared" si="5"/>
        <v>0</v>
      </c>
      <c r="M364" s="106"/>
    </row>
    <row r="365" spans="1:13" ht="15.6" x14ac:dyDescent="0.3">
      <c r="A365" s="107"/>
      <c r="B365" s="101"/>
      <c r="C365" s="102"/>
      <c r="D365" s="102"/>
      <c r="E365" s="95"/>
      <c r="H365" s="96"/>
      <c r="I365" s="103"/>
      <c r="J365" s="104"/>
      <c r="K365" s="99">
        <f t="shared" si="5"/>
        <v>0</v>
      </c>
      <c r="M365" s="106"/>
    </row>
    <row r="366" spans="1:13" ht="15.6" x14ac:dyDescent="0.3">
      <c r="A366" s="107"/>
      <c r="B366" s="101"/>
      <c r="C366" s="102"/>
      <c r="D366" s="102"/>
      <c r="E366" s="95"/>
      <c r="H366" s="96"/>
      <c r="I366" s="103"/>
      <c r="J366" s="104"/>
      <c r="K366" s="99">
        <f t="shared" si="5"/>
        <v>0</v>
      </c>
      <c r="M366" s="106"/>
    </row>
    <row r="367" spans="1:13" ht="15.6" x14ac:dyDescent="0.3">
      <c r="A367" s="107"/>
      <c r="B367" s="101"/>
      <c r="C367" s="102"/>
      <c r="D367" s="102"/>
      <c r="E367" s="95"/>
      <c r="H367" s="96"/>
      <c r="I367" s="103"/>
      <c r="J367" s="104"/>
      <c r="K367" s="99">
        <f t="shared" si="5"/>
        <v>0</v>
      </c>
      <c r="M367" s="106"/>
    </row>
    <row r="368" spans="1:13" ht="15.6" x14ac:dyDescent="0.3">
      <c r="A368" s="107"/>
      <c r="B368" s="101"/>
      <c r="C368" s="102"/>
      <c r="D368" s="102"/>
      <c r="E368" s="95"/>
      <c r="H368" s="96"/>
      <c r="I368" s="103"/>
      <c r="J368" s="104"/>
      <c r="K368" s="99">
        <f t="shared" si="5"/>
        <v>0</v>
      </c>
      <c r="M368" s="106"/>
    </row>
    <row r="369" spans="1:13" ht="15.6" x14ac:dyDescent="0.3">
      <c r="A369" s="107"/>
      <c r="B369" s="101"/>
      <c r="C369" s="102"/>
      <c r="D369" s="102"/>
      <c r="E369" s="95"/>
      <c r="H369" s="96"/>
      <c r="I369" s="96"/>
      <c r="J369" s="108"/>
      <c r="K369" s="99">
        <f t="shared" si="5"/>
        <v>0</v>
      </c>
      <c r="M369" s="106"/>
    </row>
    <row r="370" spans="1:13" ht="15.6" x14ac:dyDescent="0.3">
      <c r="A370" s="107"/>
      <c r="B370" s="101"/>
      <c r="C370" s="102"/>
      <c r="D370" s="102"/>
      <c r="E370" s="95"/>
      <c r="H370" s="96"/>
      <c r="I370" s="103"/>
      <c r="J370" s="104"/>
      <c r="K370" s="99">
        <f t="shared" si="5"/>
        <v>0</v>
      </c>
      <c r="M370" s="106"/>
    </row>
    <row r="371" spans="1:13" ht="15.6" x14ac:dyDescent="0.3">
      <c r="A371" s="107"/>
      <c r="B371" s="101"/>
      <c r="C371" s="102"/>
      <c r="D371" s="102"/>
      <c r="E371" s="95"/>
      <c r="H371" s="96"/>
      <c r="I371" s="103"/>
      <c r="J371" s="104"/>
      <c r="K371" s="99">
        <f t="shared" si="5"/>
        <v>0</v>
      </c>
      <c r="M371" s="106"/>
    </row>
    <row r="372" spans="1:13" ht="15.6" x14ac:dyDescent="0.3">
      <c r="A372" s="107"/>
      <c r="B372" s="101"/>
      <c r="C372" s="102"/>
      <c r="D372" s="102"/>
      <c r="E372" s="95"/>
      <c r="H372" s="96"/>
      <c r="I372" s="103"/>
      <c r="J372" s="104"/>
      <c r="K372" s="99">
        <f t="shared" si="5"/>
        <v>0</v>
      </c>
      <c r="M372" s="106"/>
    </row>
    <row r="373" spans="1:13" ht="15.6" x14ac:dyDescent="0.3">
      <c r="A373" s="107"/>
      <c r="B373" s="101"/>
      <c r="C373" s="102"/>
      <c r="D373" s="102"/>
      <c r="E373" s="95"/>
      <c r="H373" s="96"/>
      <c r="I373" s="103"/>
      <c r="J373" s="104"/>
      <c r="K373" s="99">
        <f t="shared" si="5"/>
        <v>0</v>
      </c>
      <c r="M373" s="106"/>
    </row>
    <row r="374" spans="1:13" ht="15.6" x14ac:dyDescent="0.3">
      <c r="A374" s="107"/>
      <c r="B374" s="101"/>
      <c r="C374" s="102"/>
      <c r="D374" s="102"/>
      <c r="E374" s="95"/>
      <c r="H374" s="96"/>
      <c r="I374" s="96"/>
      <c r="J374" s="108"/>
      <c r="K374" s="99">
        <f t="shared" si="5"/>
        <v>0</v>
      </c>
      <c r="M374" s="106"/>
    </row>
    <row r="375" spans="1:13" ht="15.6" x14ac:dyDescent="0.3">
      <c r="A375" s="107"/>
      <c r="B375" s="101"/>
      <c r="C375" s="102"/>
      <c r="D375" s="102"/>
      <c r="E375" s="95"/>
      <c r="H375" s="96"/>
      <c r="I375" s="103"/>
      <c r="J375" s="104"/>
      <c r="K375" s="99">
        <f t="shared" si="5"/>
        <v>0</v>
      </c>
      <c r="M375" s="106"/>
    </row>
    <row r="376" spans="1:13" ht="15.6" x14ac:dyDescent="0.3">
      <c r="A376" s="107"/>
      <c r="B376" s="101"/>
      <c r="C376" s="102"/>
      <c r="D376" s="102"/>
      <c r="E376" s="95"/>
      <c r="H376" s="96"/>
      <c r="I376" s="103"/>
      <c r="J376" s="104"/>
      <c r="K376" s="99">
        <f t="shared" si="5"/>
        <v>0</v>
      </c>
      <c r="M376" s="106"/>
    </row>
    <row r="377" spans="1:13" ht="15.6" x14ac:dyDescent="0.3">
      <c r="A377" s="107"/>
      <c r="B377" s="101"/>
      <c r="C377" s="102"/>
      <c r="D377" s="102"/>
      <c r="E377" s="95"/>
      <c r="H377" s="96"/>
      <c r="I377" s="103"/>
      <c r="J377" s="104"/>
      <c r="K377" s="99">
        <f t="shared" si="5"/>
        <v>0</v>
      </c>
      <c r="M377" s="106"/>
    </row>
    <row r="378" spans="1:13" ht="15.6" x14ac:dyDescent="0.3">
      <c r="A378" s="107"/>
      <c r="B378" s="101"/>
      <c r="C378" s="102"/>
      <c r="D378" s="102"/>
      <c r="E378" s="95"/>
      <c r="H378" s="96"/>
      <c r="I378" s="103"/>
      <c r="J378" s="104"/>
      <c r="K378" s="99">
        <f t="shared" si="5"/>
        <v>0</v>
      </c>
      <c r="M378" s="106"/>
    </row>
    <row r="379" spans="1:13" ht="15.6" x14ac:dyDescent="0.3">
      <c r="A379" s="107"/>
      <c r="B379" s="101"/>
      <c r="C379" s="102"/>
      <c r="D379" s="102"/>
      <c r="E379" s="95"/>
      <c r="H379" s="96"/>
      <c r="I379" s="96"/>
      <c r="J379" s="108"/>
      <c r="K379" s="99">
        <f t="shared" si="5"/>
        <v>0</v>
      </c>
      <c r="M379" s="106"/>
    </row>
    <row r="380" spans="1:13" ht="15.6" x14ac:dyDescent="0.3">
      <c r="A380" s="107"/>
      <c r="B380" s="101"/>
      <c r="C380" s="102"/>
      <c r="D380" s="102"/>
      <c r="E380" s="95"/>
      <c r="H380" s="96"/>
      <c r="I380" s="103"/>
      <c r="J380" s="104"/>
      <c r="K380" s="99">
        <f t="shared" si="5"/>
        <v>0</v>
      </c>
      <c r="M380" s="106"/>
    </row>
    <row r="381" spans="1:13" ht="15.6" x14ac:dyDescent="0.3">
      <c r="A381" s="107"/>
      <c r="B381" s="101"/>
      <c r="C381" s="102"/>
      <c r="D381" s="102"/>
      <c r="E381" s="95"/>
      <c r="H381" s="96"/>
      <c r="I381" s="103"/>
      <c r="J381" s="104"/>
      <c r="K381" s="99">
        <f t="shared" si="5"/>
        <v>0</v>
      </c>
      <c r="M381" s="106"/>
    </row>
    <row r="382" spans="1:13" x14ac:dyDescent="0.3">
      <c r="A382" s="107"/>
      <c r="B382" s="101"/>
      <c r="C382" s="102"/>
      <c r="D382" s="102"/>
      <c r="E382" s="95"/>
      <c r="H382" s="96"/>
      <c r="I382" s="103"/>
      <c r="J382" s="104"/>
      <c r="K382" s="99">
        <f t="shared" si="5"/>
        <v>0</v>
      </c>
      <c r="M382" s="66"/>
    </row>
    <row r="383" spans="1:13" ht="15.6" x14ac:dyDescent="0.3">
      <c r="A383" s="107"/>
      <c r="B383" s="101"/>
      <c r="C383" s="102"/>
      <c r="D383" s="102"/>
      <c r="E383" s="95"/>
      <c r="H383" s="96"/>
      <c r="I383" s="103"/>
      <c r="J383" s="104"/>
      <c r="K383" s="99">
        <f t="shared" si="5"/>
        <v>0</v>
      </c>
      <c r="M383" s="106"/>
    </row>
    <row r="384" spans="1:13" ht="15.6" x14ac:dyDescent="0.3">
      <c r="A384" s="107"/>
      <c r="B384" s="101"/>
      <c r="C384" s="102"/>
      <c r="D384" s="102"/>
      <c r="E384" s="95"/>
      <c r="H384" s="96"/>
      <c r="I384" s="96"/>
      <c r="J384" s="108"/>
      <c r="K384" s="99">
        <f t="shared" si="5"/>
        <v>0</v>
      </c>
      <c r="M384" s="106"/>
    </row>
    <row r="385" spans="1:13" ht="15.6" x14ac:dyDescent="0.3">
      <c r="A385" s="107"/>
      <c r="B385" s="101"/>
      <c r="C385" s="102"/>
      <c r="D385" s="102"/>
      <c r="E385" s="95"/>
      <c r="H385" s="96"/>
      <c r="I385" s="103"/>
      <c r="J385" s="104"/>
      <c r="K385" s="99">
        <f t="shared" si="5"/>
        <v>0</v>
      </c>
      <c r="M385" s="106"/>
    </row>
    <row r="386" spans="1:13" ht="15.6" x14ac:dyDescent="0.3">
      <c r="A386" s="107"/>
      <c r="B386" s="101"/>
      <c r="C386" s="102"/>
      <c r="D386" s="102"/>
      <c r="E386" s="95"/>
      <c r="H386" s="96"/>
      <c r="I386" s="103"/>
      <c r="J386" s="104"/>
      <c r="K386" s="99">
        <f t="shared" si="5"/>
        <v>0</v>
      </c>
      <c r="M386" s="106"/>
    </row>
    <row r="387" spans="1:13" ht="15.6" x14ac:dyDescent="0.3">
      <c r="A387" s="107"/>
      <c r="B387" s="101"/>
      <c r="C387" s="102"/>
      <c r="D387" s="102"/>
      <c r="E387" s="95"/>
      <c r="H387" s="96"/>
      <c r="I387" s="103"/>
      <c r="J387" s="104"/>
      <c r="K387" s="99">
        <f t="shared" si="5"/>
        <v>0</v>
      </c>
      <c r="M387" s="106"/>
    </row>
    <row r="388" spans="1:13" ht="15.6" x14ac:dyDescent="0.3">
      <c r="A388" s="107"/>
      <c r="B388" s="101"/>
      <c r="C388" s="102"/>
      <c r="D388" s="102"/>
      <c r="E388" s="95"/>
      <c r="H388" s="96"/>
      <c r="I388" s="103"/>
      <c r="J388" s="104"/>
      <c r="K388" s="99">
        <f t="shared" si="5"/>
        <v>0</v>
      </c>
      <c r="M388" s="106"/>
    </row>
    <row r="389" spans="1:13" ht="15.6" x14ac:dyDescent="0.3">
      <c r="A389" s="107"/>
      <c r="B389" s="101"/>
      <c r="C389" s="102"/>
      <c r="D389" s="102"/>
      <c r="E389" s="95"/>
      <c r="H389" s="96"/>
      <c r="I389" s="96"/>
      <c r="J389" s="108"/>
      <c r="K389" s="99">
        <f t="shared" ref="K389:K452" si="6">IF(H389 ="x",IF(B389="Fotó", 1,IF(B389 = "2D grafika", 3, IF(B389 = "3D grafika", 8, IF(B389 ="2D animáció", IF(J389&lt;=10, 25, IF(J389&lt;=20, 28, IF(J389&lt;=30, 31, IF(J389&lt;=40, 34, IF(J389&lt;=50, 37, 37 + ROUNDUP((J389-50)/10, 0)*3))))),IF(B389="3D animáció", IF(J389&lt;=10, 40, IF(J389&lt;=20, 48, IF(J389&lt;=30, 56, IF(J389&lt;=40, 64, IF(J389&lt;=50, 72, 72 + ROUNDUP((J389-50)/10, 0)*8))))), IF(B389="Videó egyszereplős", ROUNDUP(J389/10,0)*2, IF(B389 ="Videó egyszereplős narrációval", ROUNDUP(J389/10,0)*3, IF(B389="Videó többszereplős", ROUNDUP(J389/10,0)*2, IF(B389 ="Videó többszereplős narrációval", ROUNDUP(J389/10,0)*4, IF(B389 ="Hangzóanyag", ROUNDUP(J389/10,0)*1, IF(B389="Interaktív animáció (szimuláció)",13,0))))))))))),0)</f>
        <v>0</v>
      </c>
      <c r="M389" s="106"/>
    </row>
    <row r="390" spans="1:13" ht="15.6" x14ac:dyDescent="0.3">
      <c r="A390" s="107"/>
      <c r="B390" s="101"/>
      <c r="C390" s="102"/>
      <c r="D390" s="102"/>
      <c r="E390" s="95"/>
      <c r="H390" s="96"/>
      <c r="I390" s="103"/>
      <c r="J390" s="104"/>
      <c r="K390" s="99">
        <f t="shared" si="6"/>
        <v>0</v>
      </c>
      <c r="M390" s="106"/>
    </row>
    <row r="391" spans="1:13" ht="15.6" x14ac:dyDescent="0.3">
      <c r="A391" s="107"/>
      <c r="B391" s="101"/>
      <c r="C391" s="102"/>
      <c r="D391" s="102"/>
      <c r="E391" s="95"/>
      <c r="H391" s="96"/>
      <c r="I391" s="103"/>
      <c r="J391" s="104"/>
      <c r="K391" s="99">
        <f t="shared" si="6"/>
        <v>0</v>
      </c>
      <c r="M391" s="106"/>
    </row>
    <row r="392" spans="1:13" ht="15.6" x14ac:dyDescent="0.3">
      <c r="A392" s="107"/>
      <c r="B392" s="101"/>
      <c r="C392" s="102"/>
      <c r="D392" s="102"/>
      <c r="E392" s="95"/>
      <c r="H392" s="96"/>
      <c r="I392" s="103"/>
      <c r="J392" s="104"/>
      <c r="K392" s="99">
        <f t="shared" si="6"/>
        <v>0</v>
      </c>
      <c r="M392" s="106"/>
    </row>
    <row r="393" spans="1:13" ht="15.6" x14ac:dyDescent="0.3">
      <c r="A393" s="107"/>
      <c r="B393" s="101"/>
      <c r="C393" s="102"/>
      <c r="D393" s="102"/>
      <c r="E393" s="95"/>
      <c r="H393" s="96"/>
      <c r="I393" s="103"/>
      <c r="J393" s="104"/>
      <c r="K393" s="99">
        <f t="shared" si="6"/>
        <v>0</v>
      </c>
      <c r="M393" s="106"/>
    </row>
    <row r="394" spans="1:13" ht="15.6" x14ac:dyDescent="0.3">
      <c r="A394" s="107"/>
      <c r="B394" s="101"/>
      <c r="C394" s="102"/>
      <c r="D394" s="102"/>
      <c r="E394" s="95"/>
      <c r="H394" s="96"/>
      <c r="I394" s="96"/>
      <c r="J394" s="108"/>
      <c r="K394" s="99">
        <f t="shared" si="6"/>
        <v>0</v>
      </c>
      <c r="M394" s="106"/>
    </row>
    <row r="395" spans="1:13" ht="15.6" x14ac:dyDescent="0.3">
      <c r="A395" s="107"/>
      <c r="B395" s="101"/>
      <c r="C395" s="102"/>
      <c r="D395" s="102"/>
      <c r="E395" s="95"/>
      <c r="H395" s="96"/>
      <c r="I395" s="103"/>
      <c r="J395" s="104"/>
      <c r="K395" s="99">
        <f t="shared" si="6"/>
        <v>0</v>
      </c>
      <c r="M395" s="106"/>
    </row>
    <row r="396" spans="1:13" ht="15.6" x14ac:dyDescent="0.3">
      <c r="A396" s="107"/>
      <c r="B396" s="101"/>
      <c r="C396" s="102"/>
      <c r="D396" s="102"/>
      <c r="E396" s="95"/>
      <c r="H396" s="96"/>
      <c r="I396" s="103"/>
      <c r="J396" s="104"/>
      <c r="K396" s="99">
        <f t="shared" si="6"/>
        <v>0</v>
      </c>
      <c r="M396" s="106"/>
    </row>
    <row r="397" spans="1:13" ht="15.6" x14ac:dyDescent="0.3">
      <c r="A397" s="107"/>
      <c r="B397" s="101"/>
      <c r="C397" s="102"/>
      <c r="D397" s="102"/>
      <c r="E397" s="95"/>
      <c r="H397" s="96"/>
      <c r="I397" s="103"/>
      <c r="J397" s="104"/>
      <c r="K397" s="99">
        <f t="shared" si="6"/>
        <v>0</v>
      </c>
      <c r="M397" s="106"/>
    </row>
    <row r="398" spans="1:13" ht="15.6" x14ac:dyDescent="0.3">
      <c r="A398" s="107"/>
      <c r="B398" s="101"/>
      <c r="C398" s="102"/>
      <c r="D398" s="102"/>
      <c r="E398" s="95"/>
      <c r="H398" s="96"/>
      <c r="I398" s="103"/>
      <c r="J398" s="104"/>
      <c r="K398" s="99">
        <f t="shared" si="6"/>
        <v>0</v>
      </c>
      <c r="M398" s="106"/>
    </row>
    <row r="399" spans="1:13" ht="15.6" x14ac:dyDescent="0.3">
      <c r="A399" s="107"/>
      <c r="B399" s="101"/>
      <c r="C399" s="102"/>
      <c r="D399" s="102"/>
      <c r="E399" s="95"/>
      <c r="H399" s="96"/>
      <c r="I399" s="96"/>
      <c r="J399" s="108"/>
      <c r="K399" s="99">
        <f t="shared" si="6"/>
        <v>0</v>
      </c>
      <c r="M399" s="106"/>
    </row>
    <row r="400" spans="1:13" ht="15.6" x14ac:dyDescent="0.3">
      <c r="A400" s="107"/>
      <c r="B400" s="101"/>
      <c r="C400" s="102"/>
      <c r="D400" s="102"/>
      <c r="E400" s="95"/>
      <c r="H400" s="96"/>
      <c r="I400" s="103"/>
      <c r="J400" s="104"/>
      <c r="K400" s="99">
        <f t="shared" si="6"/>
        <v>0</v>
      </c>
      <c r="M400" s="106"/>
    </row>
    <row r="401" spans="1:13" ht="15.6" x14ac:dyDescent="0.3">
      <c r="A401" s="107"/>
      <c r="B401" s="101"/>
      <c r="C401" s="102"/>
      <c r="D401" s="102"/>
      <c r="E401" s="95"/>
      <c r="H401" s="96"/>
      <c r="I401" s="103"/>
      <c r="J401" s="104"/>
      <c r="K401" s="99">
        <f t="shared" si="6"/>
        <v>0</v>
      </c>
      <c r="M401" s="106"/>
    </row>
    <row r="402" spans="1:13" ht="15.6" x14ac:dyDescent="0.3">
      <c r="A402" s="107"/>
      <c r="B402" s="101"/>
      <c r="C402" s="102"/>
      <c r="D402" s="102"/>
      <c r="E402" s="95"/>
      <c r="H402" s="96"/>
      <c r="I402" s="103"/>
      <c r="J402" s="104"/>
      <c r="K402" s="99">
        <f t="shared" si="6"/>
        <v>0</v>
      </c>
      <c r="M402" s="106"/>
    </row>
    <row r="403" spans="1:13" ht="15.6" x14ac:dyDescent="0.3">
      <c r="A403" s="107"/>
      <c r="B403" s="101"/>
      <c r="C403" s="102"/>
      <c r="D403" s="102"/>
      <c r="E403" s="95"/>
      <c r="H403" s="96"/>
      <c r="I403" s="103"/>
      <c r="J403" s="104"/>
      <c r="K403" s="99">
        <f t="shared" si="6"/>
        <v>0</v>
      </c>
      <c r="M403" s="106"/>
    </row>
    <row r="404" spans="1:13" ht="15.6" x14ac:dyDescent="0.3">
      <c r="A404" s="107"/>
      <c r="B404" s="101"/>
      <c r="C404" s="102"/>
      <c r="D404" s="102"/>
      <c r="E404" s="95"/>
      <c r="H404" s="96"/>
      <c r="I404" s="96"/>
      <c r="J404" s="108"/>
      <c r="K404" s="99">
        <f t="shared" si="6"/>
        <v>0</v>
      </c>
      <c r="M404" s="106"/>
    </row>
    <row r="405" spans="1:13" ht="15.6" x14ac:dyDescent="0.3">
      <c r="A405" s="107"/>
      <c r="B405" s="101"/>
      <c r="C405" s="102"/>
      <c r="D405" s="102"/>
      <c r="E405" s="95"/>
      <c r="H405" s="96"/>
      <c r="I405" s="103"/>
      <c r="J405" s="104"/>
      <c r="K405" s="99">
        <f t="shared" si="6"/>
        <v>0</v>
      </c>
      <c r="M405" s="106"/>
    </row>
    <row r="406" spans="1:13" ht="15.6" x14ac:dyDescent="0.3">
      <c r="A406" s="107"/>
      <c r="B406" s="101"/>
      <c r="C406" s="102"/>
      <c r="D406" s="102"/>
      <c r="E406" s="95"/>
      <c r="H406" s="96"/>
      <c r="I406" s="103"/>
      <c r="J406" s="104"/>
      <c r="K406" s="99">
        <f t="shared" si="6"/>
        <v>0</v>
      </c>
      <c r="M406" s="106"/>
    </row>
    <row r="407" spans="1:13" ht="15.6" x14ac:dyDescent="0.3">
      <c r="A407" s="107"/>
      <c r="B407" s="101"/>
      <c r="C407" s="102"/>
      <c r="D407" s="102"/>
      <c r="E407" s="95"/>
      <c r="H407" s="96"/>
      <c r="I407" s="103"/>
      <c r="J407" s="104"/>
      <c r="K407" s="99">
        <f t="shared" si="6"/>
        <v>0</v>
      </c>
      <c r="M407" s="106"/>
    </row>
    <row r="408" spans="1:13" ht="15.6" x14ac:dyDescent="0.3">
      <c r="A408" s="107"/>
      <c r="B408" s="101"/>
      <c r="C408" s="102"/>
      <c r="D408" s="102"/>
      <c r="E408" s="95"/>
      <c r="H408" s="96"/>
      <c r="I408" s="103"/>
      <c r="J408" s="104"/>
      <c r="K408" s="99">
        <f t="shared" si="6"/>
        <v>0</v>
      </c>
      <c r="M408" s="106"/>
    </row>
    <row r="409" spans="1:13" ht="15.6" x14ac:dyDescent="0.3">
      <c r="A409" s="107"/>
      <c r="B409" s="101"/>
      <c r="C409" s="102"/>
      <c r="D409" s="102"/>
      <c r="E409" s="95"/>
      <c r="H409" s="96"/>
      <c r="I409" s="96"/>
      <c r="J409" s="108"/>
      <c r="K409" s="99">
        <f t="shared" si="6"/>
        <v>0</v>
      </c>
      <c r="M409" s="106"/>
    </row>
    <row r="410" spans="1:13" ht="15.6" x14ac:dyDescent="0.3">
      <c r="A410" s="107"/>
      <c r="B410" s="101"/>
      <c r="C410" s="102"/>
      <c r="D410" s="102"/>
      <c r="E410" s="95"/>
      <c r="H410" s="96"/>
      <c r="I410" s="103"/>
      <c r="J410" s="104"/>
      <c r="K410" s="99">
        <f t="shared" si="6"/>
        <v>0</v>
      </c>
      <c r="M410" s="106"/>
    </row>
    <row r="411" spans="1:13" ht="15.6" x14ac:dyDescent="0.3">
      <c r="A411" s="107"/>
      <c r="B411" s="101"/>
      <c r="C411" s="102"/>
      <c r="D411" s="102"/>
      <c r="E411" s="95"/>
      <c r="H411" s="96"/>
      <c r="I411" s="103"/>
      <c r="J411" s="104"/>
      <c r="K411" s="99">
        <f t="shared" si="6"/>
        <v>0</v>
      </c>
      <c r="M411" s="106"/>
    </row>
    <row r="412" spans="1:13" ht="15.6" x14ac:dyDescent="0.3">
      <c r="A412" s="107"/>
      <c r="B412" s="101"/>
      <c r="C412" s="102"/>
      <c r="D412" s="102"/>
      <c r="E412" s="95"/>
      <c r="H412" s="96"/>
      <c r="I412" s="103"/>
      <c r="J412" s="104"/>
      <c r="K412" s="99">
        <f t="shared" si="6"/>
        <v>0</v>
      </c>
      <c r="M412" s="106"/>
    </row>
    <row r="413" spans="1:13" ht="15.6" x14ac:dyDescent="0.3">
      <c r="A413" s="107"/>
      <c r="B413" s="101"/>
      <c r="C413" s="102"/>
      <c r="D413" s="102"/>
      <c r="E413" s="95"/>
      <c r="H413" s="96"/>
      <c r="I413" s="103"/>
      <c r="J413" s="104"/>
      <c r="K413" s="99">
        <f t="shared" si="6"/>
        <v>0</v>
      </c>
      <c r="M413" s="106"/>
    </row>
    <row r="414" spans="1:13" ht="15.6" x14ac:dyDescent="0.3">
      <c r="A414" s="107"/>
      <c r="B414" s="101"/>
      <c r="C414" s="102"/>
      <c r="D414" s="102"/>
      <c r="E414" s="95"/>
      <c r="H414" s="96"/>
      <c r="I414" s="96"/>
      <c r="J414" s="108"/>
      <c r="K414" s="99">
        <f t="shared" si="6"/>
        <v>0</v>
      </c>
      <c r="M414" s="106"/>
    </row>
    <row r="415" spans="1:13" ht="15.6" x14ac:dyDescent="0.3">
      <c r="A415" s="107"/>
      <c r="B415" s="101"/>
      <c r="C415" s="102"/>
      <c r="D415" s="102"/>
      <c r="E415" s="95"/>
      <c r="H415" s="96"/>
      <c r="I415" s="103"/>
      <c r="J415" s="104"/>
      <c r="K415" s="99">
        <f t="shared" si="6"/>
        <v>0</v>
      </c>
      <c r="M415" s="106"/>
    </row>
    <row r="416" spans="1:13" ht="15.6" x14ac:dyDescent="0.3">
      <c r="A416" s="107"/>
      <c r="B416" s="101"/>
      <c r="C416" s="102"/>
      <c r="D416" s="102"/>
      <c r="E416" s="95"/>
      <c r="H416" s="96"/>
      <c r="I416" s="103"/>
      <c r="J416" s="104"/>
      <c r="K416" s="99">
        <f t="shared" si="6"/>
        <v>0</v>
      </c>
      <c r="M416" s="106"/>
    </row>
    <row r="417" spans="1:13" ht="15.6" x14ac:dyDescent="0.3">
      <c r="A417" s="107"/>
      <c r="B417" s="101"/>
      <c r="C417" s="102"/>
      <c r="D417" s="102"/>
      <c r="E417" s="95"/>
      <c r="H417" s="96"/>
      <c r="I417" s="103"/>
      <c r="J417" s="104"/>
      <c r="K417" s="99">
        <f t="shared" si="6"/>
        <v>0</v>
      </c>
      <c r="M417" s="106"/>
    </row>
    <row r="418" spans="1:13" ht="15.6" x14ac:dyDescent="0.3">
      <c r="A418" s="107"/>
      <c r="B418" s="101"/>
      <c r="C418" s="102"/>
      <c r="D418" s="102"/>
      <c r="E418" s="95"/>
      <c r="H418" s="96"/>
      <c r="I418" s="103"/>
      <c r="J418" s="104"/>
      <c r="K418" s="99">
        <f t="shared" si="6"/>
        <v>0</v>
      </c>
      <c r="M418" s="106"/>
    </row>
    <row r="419" spans="1:13" ht="15.6" x14ac:dyDescent="0.3">
      <c r="A419" s="100"/>
      <c r="B419" s="101"/>
      <c r="C419" s="102"/>
      <c r="D419" s="102"/>
      <c r="E419" s="95"/>
      <c r="H419" s="96"/>
      <c r="I419" s="103"/>
      <c r="J419" s="104"/>
      <c r="K419" s="99">
        <f t="shared" si="6"/>
        <v>0</v>
      </c>
      <c r="M419" s="106"/>
    </row>
    <row r="420" spans="1:13" ht="15.6" x14ac:dyDescent="0.3">
      <c r="A420" s="100"/>
      <c r="B420" s="101"/>
      <c r="C420" s="102"/>
      <c r="D420" s="102"/>
      <c r="E420" s="95"/>
      <c r="H420" s="96"/>
      <c r="I420" s="103"/>
      <c r="J420" s="104"/>
      <c r="K420" s="99">
        <f t="shared" si="6"/>
        <v>0</v>
      </c>
      <c r="M420" s="106"/>
    </row>
    <row r="421" spans="1:13" ht="15.6" x14ac:dyDescent="0.3">
      <c r="A421" s="100"/>
      <c r="B421" s="101"/>
      <c r="C421" s="102"/>
      <c r="D421" s="102"/>
      <c r="E421" s="95"/>
      <c r="H421" s="96"/>
      <c r="I421" s="103"/>
      <c r="J421" s="104"/>
      <c r="K421" s="99">
        <f t="shared" si="6"/>
        <v>0</v>
      </c>
      <c r="M421" s="106"/>
    </row>
    <row r="422" spans="1:13" ht="15.6" x14ac:dyDescent="0.3">
      <c r="A422" s="100"/>
      <c r="B422" s="101"/>
      <c r="C422" s="102"/>
      <c r="D422" s="102"/>
      <c r="E422" s="95"/>
      <c r="H422" s="96"/>
      <c r="I422" s="103"/>
      <c r="J422" s="104"/>
      <c r="K422" s="99">
        <f t="shared" si="6"/>
        <v>0</v>
      </c>
      <c r="M422" s="106"/>
    </row>
    <row r="423" spans="1:13" ht="15.6" x14ac:dyDescent="0.3">
      <c r="A423" s="107"/>
      <c r="B423" s="101"/>
      <c r="C423" s="102"/>
      <c r="D423" s="102"/>
      <c r="E423" s="95"/>
      <c r="H423" s="96"/>
      <c r="I423" s="96"/>
      <c r="J423" s="108"/>
      <c r="K423" s="99">
        <f t="shared" si="6"/>
        <v>0</v>
      </c>
      <c r="M423" s="106"/>
    </row>
    <row r="424" spans="1:13" ht="15.6" x14ac:dyDescent="0.3">
      <c r="A424" s="107"/>
      <c r="B424" s="101"/>
      <c r="C424" s="102"/>
      <c r="D424" s="102"/>
      <c r="E424" s="95"/>
      <c r="H424" s="96"/>
      <c r="I424" s="103"/>
      <c r="J424" s="104"/>
      <c r="K424" s="99">
        <f t="shared" si="6"/>
        <v>0</v>
      </c>
      <c r="M424" s="106"/>
    </row>
    <row r="425" spans="1:13" ht="15.6" x14ac:dyDescent="0.3">
      <c r="A425" s="107"/>
      <c r="B425" s="101"/>
      <c r="C425" s="102"/>
      <c r="D425" s="102"/>
      <c r="E425" s="95"/>
      <c r="H425" s="96"/>
      <c r="I425" s="103"/>
      <c r="J425" s="104"/>
      <c r="K425" s="99">
        <f t="shared" si="6"/>
        <v>0</v>
      </c>
      <c r="M425" s="106"/>
    </row>
    <row r="426" spans="1:13" ht="15.6" x14ac:dyDescent="0.3">
      <c r="A426" s="107"/>
      <c r="B426" s="101"/>
      <c r="C426" s="102"/>
      <c r="D426" s="102"/>
      <c r="E426" s="95"/>
      <c r="H426" s="96"/>
      <c r="I426" s="103"/>
      <c r="J426" s="104"/>
      <c r="K426" s="99">
        <f t="shared" si="6"/>
        <v>0</v>
      </c>
      <c r="M426" s="106"/>
    </row>
    <row r="427" spans="1:13" ht="15.6" x14ac:dyDescent="0.3">
      <c r="A427" s="107"/>
      <c r="B427" s="101"/>
      <c r="C427" s="102"/>
      <c r="D427" s="102"/>
      <c r="E427" s="95"/>
      <c r="H427" s="96"/>
      <c r="I427" s="103"/>
      <c r="J427" s="104"/>
      <c r="K427" s="99">
        <f t="shared" si="6"/>
        <v>0</v>
      </c>
      <c r="M427" s="106"/>
    </row>
    <row r="428" spans="1:13" ht="15.6" x14ac:dyDescent="0.3">
      <c r="A428" s="107"/>
      <c r="B428" s="101"/>
      <c r="C428" s="102"/>
      <c r="D428" s="102"/>
      <c r="E428" s="95"/>
      <c r="H428" s="96"/>
      <c r="I428" s="96"/>
      <c r="J428" s="108"/>
      <c r="K428" s="99">
        <f t="shared" si="6"/>
        <v>0</v>
      </c>
      <c r="M428" s="106"/>
    </row>
    <row r="429" spans="1:13" ht="15.6" x14ac:dyDescent="0.3">
      <c r="A429" s="107"/>
      <c r="B429" s="101"/>
      <c r="C429" s="102"/>
      <c r="D429" s="102"/>
      <c r="E429" s="95"/>
      <c r="H429" s="96"/>
      <c r="I429" s="103"/>
      <c r="J429" s="104"/>
      <c r="K429" s="99">
        <f t="shared" si="6"/>
        <v>0</v>
      </c>
      <c r="M429" s="106"/>
    </row>
    <row r="430" spans="1:13" ht="15.6" x14ac:dyDescent="0.3">
      <c r="A430" s="107"/>
      <c r="B430" s="101"/>
      <c r="C430" s="102"/>
      <c r="D430" s="102"/>
      <c r="E430" s="95"/>
      <c r="H430" s="96"/>
      <c r="I430" s="103"/>
      <c r="J430" s="104"/>
      <c r="K430" s="99">
        <f t="shared" si="6"/>
        <v>0</v>
      </c>
      <c r="M430" s="106"/>
    </row>
    <row r="431" spans="1:13" ht="15.6" x14ac:dyDescent="0.3">
      <c r="A431" s="107"/>
      <c r="B431" s="101"/>
      <c r="C431" s="102"/>
      <c r="D431" s="102"/>
      <c r="E431" s="95"/>
      <c r="H431" s="96"/>
      <c r="I431" s="103"/>
      <c r="J431" s="104"/>
      <c r="K431" s="99">
        <f t="shared" si="6"/>
        <v>0</v>
      </c>
      <c r="M431" s="106"/>
    </row>
    <row r="432" spans="1:13" ht="15.6" x14ac:dyDescent="0.3">
      <c r="A432" s="107"/>
      <c r="B432" s="101"/>
      <c r="C432" s="102"/>
      <c r="D432" s="102"/>
      <c r="E432" s="95"/>
      <c r="H432" s="96"/>
      <c r="I432" s="103"/>
      <c r="J432" s="104"/>
      <c r="K432" s="99">
        <f t="shared" si="6"/>
        <v>0</v>
      </c>
      <c r="M432" s="106"/>
    </row>
    <row r="433" spans="1:13" ht="15.6" x14ac:dyDescent="0.3">
      <c r="A433" s="107"/>
      <c r="B433" s="101"/>
      <c r="C433" s="102"/>
      <c r="D433" s="102"/>
      <c r="E433" s="95"/>
      <c r="H433" s="96"/>
      <c r="I433" s="96"/>
      <c r="J433" s="108"/>
      <c r="K433" s="99">
        <f t="shared" si="6"/>
        <v>0</v>
      </c>
      <c r="M433" s="106"/>
    </row>
    <row r="434" spans="1:13" ht="15.6" x14ac:dyDescent="0.3">
      <c r="A434" s="107"/>
      <c r="B434" s="101"/>
      <c r="C434" s="102"/>
      <c r="D434" s="102"/>
      <c r="E434" s="95"/>
      <c r="H434" s="96"/>
      <c r="I434" s="103"/>
      <c r="J434" s="104"/>
      <c r="K434" s="99">
        <f t="shared" si="6"/>
        <v>0</v>
      </c>
      <c r="M434" s="106"/>
    </row>
    <row r="435" spans="1:13" ht="15.6" x14ac:dyDescent="0.3">
      <c r="A435" s="107"/>
      <c r="B435" s="101"/>
      <c r="C435" s="102"/>
      <c r="D435" s="102"/>
      <c r="E435" s="95"/>
      <c r="H435" s="96"/>
      <c r="I435" s="103"/>
      <c r="J435" s="104"/>
      <c r="K435" s="99">
        <f t="shared" si="6"/>
        <v>0</v>
      </c>
      <c r="M435" s="106"/>
    </row>
    <row r="436" spans="1:13" ht="15.6" x14ac:dyDescent="0.3">
      <c r="A436" s="107"/>
      <c r="B436" s="101"/>
      <c r="C436" s="102"/>
      <c r="D436" s="102"/>
      <c r="E436" s="95"/>
      <c r="H436" s="96"/>
      <c r="I436" s="103"/>
      <c r="J436" s="104"/>
      <c r="K436" s="99">
        <f t="shared" si="6"/>
        <v>0</v>
      </c>
      <c r="M436" s="106"/>
    </row>
    <row r="437" spans="1:13" ht="15.6" x14ac:dyDescent="0.3">
      <c r="A437" s="107"/>
      <c r="B437" s="101"/>
      <c r="C437" s="102"/>
      <c r="D437" s="102"/>
      <c r="E437" s="95"/>
      <c r="H437" s="96"/>
      <c r="I437" s="103"/>
      <c r="J437" s="104"/>
      <c r="K437" s="99">
        <f t="shared" si="6"/>
        <v>0</v>
      </c>
      <c r="M437" s="106"/>
    </row>
    <row r="438" spans="1:13" ht="15.6" x14ac:dyDescent="0.3">
      <c r="A438" s="107"/>
      <c r="B438" s="101"/>
      <c r="C438" s="102"/>
      <c r="D438" s="102"/>
      <c r="E438" s="95"/>
      <c r="H438" s="96"/>
      <c r="I438" s="96"/>
      <c r="J438" s="108"/>
      <c r="K438" s="99">
        <f t="shared" si="6"/>
        <v>0</v>
      </c>
      <c r="M438" s="106"/>
    </row>
    <row r="439" spans="1:13" ht="15.6" x14ac:dyDescent="0.3">
      <c r="A439" s="107"/>
      <c r="B439" s="101"/>
      <c r="C439" s="102"/>
      <c r="D439" s="102"/>
      <c r="E439" s="95"/>
      <c r="H439" s="96"/>
      <c r="I439" s="103"/>
      <c r="J439" s="104"/>
      <c r="K439" s="99">
        <f t="shared" si="6"/>
        <v>0</v>
      </c>
      <c r="M439" s="106"/>
    </row>
    <row r="440" spans="1:13" ht="15.6" x14ac:dyDescent="0.3">
      <c r="A440" s="107"/>
      <c r="B440" s="101"/>
      <c r="C440" s="102"/>
      <c r="D440" s="102"/>
      <c r="E440" s="95"/>
      <c r="H440" s="96"/>
      <c r="I440" s="103"/>
      <c r="J440" s="104"/>
      <c r="K440" s="99">
        <f t="shared" si="6"/>
        <v>0</v>
      </c>
      <c r="M440" s="106"/>
    </row>
    <row r="441" spans="1:13" x14ac:dyDescent="0.3">
      <c r="A441" s="107"/>
      <c r="B441" s="101"/>
      <c r="C441" s="102"/>
      <c r="D441" s="102"/>
      <c r="E441" s="95"/>
      <c r="H441" s="96"/>
      <c r="I441" s="103"/>
      <c r="J441" s="104"/>
      <c r="K441" s="99">
        <f t="shared" si="6"/>
        <v>0</v>
      </c>
      <c r="M441" s="66"/>
    </row>
    <row r="442" spans="1:13" ht="15.6" x14ac:dyDescent="0.3">
      <c r="A442" s="107"/>
      <c r="B442" s="101"/>
      <c r="C442" s="102"/>
      <c r="D442" s="102"/>
      <c r="E442" s="95"/>
      <c r="H442" s="96"/>
      <c r="I442" s="103"/>
      <c r="J442" s="104"/>
      <c r="K442" s="99">
        <f t="shared" si="6"/>
        <v>0</v>
      </c>
      <c r="M442" s="106"/>
    </row>
    <row r="443" spans="1:13" ht="15.6" x14ac:dyDescent="0.3">
      <c r="A443" s="107"/>
      <c r="B443" s="101"/>
      <c r="C443" s="102"/>
      <c r="D443" s="102"/>
      <c r="E443" s="95"/>
      <c r="H443" s="96"/>
      <c r="I443" s="96"/>
      <c r="J443" s="108"/>
      <c r="K443" s="99">
        <f t="shared" si="6"/>
        <v>0</v>
      </c>
      <c r="M443" s="106"/>
    </row>
    <row r="444" spans="1:13" ht="15.6" x14ac:dyDescent="0.3">
      <c r="A444" s="107"/>
      <c r="B444" s="101"/>
      <c r="C444" s="102"/>
      <c r="D444" s="102"/>
      <c r="E444" s="95"/>
      <c r="H444" s="96"/>
      <c r="I444" s="103"/>
      <c r="J444" s="104"/>
      <c r="K444" s="99">
        <f t="shared" si="6"/>
        <v>0</v>
      </c>
      <c r="M444" s="106"/>
    </row>
    <row r="445" spans="1:13" ht="15.6" x14ac:dyDescent="0.3">
      <c r="A445" s="107"/>
      <c r="B445" s="101"/>
      <c r="C445" s="102"/>
      <c r="D445" s="102"/>
      <c r="E445" s="95"/>
      <c r="H445" s="96"/>
      <c r="I445" s="103"/>
      <c r="J445" s="104"/>
      <c r="K445" s="99">
        <f t="shared" si="6"/>
        <v>0</v>
      </c>
      <c r="M445" s="106"/>
    </row>
    <row r="446" spans="1:13" ht="15.6" x14ac:dyDescent="0.3">
      <c r="A446" s="107"/>
      <c r="B446" s="101"/>
      <c r="C446" s="102"/>
      <c r="D446" s="102"/>
      <c r="E446" s="95"/>
      <c r="H446" s="96"/>
      <c r="I446" s="103"/>
      <c r="J446" s="104"/>
      <c r="K446" s="99">
        <f t="shared" si="6"/>
        <v>0</v>
      </c>
      <c r="M446" s="106"/>
    </row>
    <row r="447" spans="1:13" ht="15.6" x14ac:dyDescent="0.3">
      <c r="A447" s="107"/>
      <c r="B447" s="101"/>
      <c r="C447" s="102"/>
      <c r="D447" s="102"/>
      <c r="E447" s="95"/>
      <c r="H447" s="96"/>
      <c r="I447" s="103"/>
      <c r="J447" s="104"/>
      <c r="K447" s="99">
        <f t="shared" si="6"/>
        <v>0</v>
      </c>
      <c r="M447" s="106"/>
    </row>
    <row r="448" spans="1:13" ht="15.6" x14ac:dyDescent="0.3">
      <c r="A448" s="107"/>
      <c r="B448" s="101"/>
      <c r="C448" s="102"/>
      <c r="D448" s="102"/>
      <c r="E448" s="95"/>
      <c r="H448" s="96"/>
      <c r="I448" s="96"/>
      <c r="J448" s="108"/>
      <c r="K448" s="99">
        <f t="shared" si="6"/>
        <v>0</v>
      </c>
      <c r="M448" s="106"/>
    </row>
    <row r="449" spans="1:13" ht="15.6" x14ac:dyDescent="0.3">
      <c r="A449" s="107"/>
      <c r="B449" s="101"/>
      <c r="C449" s="102"/>
      <c r="D449" s="102"/>
      <c r="E449" s="95"/>
      <c r="H449" s="96"/>
      <c r="I449" s="103"/>
      <c r="J449" s="104"/>
      <c r="K449" s="99">
        <f t="shared" si="6"/>
        <v>0</v>
      </c>
      <c r="M449" s="106"/>
    </row>
    <row r="450" spans="1:13" ht="15.6" x14ac:dyDescent="0.3">
      <c r="A450" s="107"/>
      <c r="B450" s="101"/>
      <c r="C450" s="102"/>
      <c r="D450" s="102"/>
      <c r="E450" s="95"/>
      <c r="H450" s="96"/>
      <c r="I450" s="103"/>
      <c r="J450" s="104"/>
      <c r="K450" s="99">
        <f t="shared" si="6"/>
        <v>0</v>
      </c>
      <c r="M450" s="106"/>
    </row>
    <row r="451" spans="1:13" ht="15.6" x14ac:dyDescent="0.3">
      <c r="A451" s="107"/>
      <c r="B451" s="101"/>
      <c r="C451" s="102"/>
      <c r="D451" s="102"/>
      <c r="E451" s="95"/>
      <c r="H451" s="96"/>
      <c r="I451" s="103"/>
      <c r="J451" s="104"/>
      <c r="K451" s="99">
        <f t="shared" si="6"/>
        <v>0</v>
      </c>
      <c r="M451" s="106"/>
    </row>
    <row r="452" spans="1:13" ht="15.6" x14ac:dyDescent="0.3">
      <c r="A452" s="107"/>
      <c r="B452" s="101"/>
      <c r="C452" s="102"/>
      <c r="D452" s="102"/>
      <c r="E452" s="95"/>
      <c r="H452" s="96"/>
      <c r="I452" s="103"/>
      <c r="J452" s="104"/>
      <c r="K452" s="99">
        <f t="shared" si="6"/>
        <v>0</v>
      </c>
      <c r="M452" s="106"/>
    </row>
    <row r="453" spans="1:13" ht="15.6" x14ac:dyDescent="0.3">
      <c r="A453" s="107"/>
      <c r="B453" s="101"/>
      <c r="C453" s="102"/>
      <c r="D453" s="102"/>
      <c r="E453" s="95"/>
      <c r="H453" s="96"/>
      <c r="I453" s="96"/>
      <c r="J453" s="108"/>
      <c r="K453" s="99">
        <f t="shared" ref="K453:K516" si="7">IF(H453 ="x",IF(B453="Fotó", 1,IF(B453 = "2D grafika", 3, IF(B453 = "3D grafika", 8, IF(B453 ="2D animáció", IF(J453&lt;=10, 25, IF(J453&lt;=20, 28, IF(J453&lt;=30, 31, IF(J453&lt;=40, 34, IF(J453&lt;=50, 37, 37 + ROUNDUP((J453-50)/10, 0)*3))))),IF(B453="3D animáció", IF(J453&lt;=10, 40, IF(J453&lt;=20, 48, IF(J453&lt;=30, 56, IF(J453&lt;=40, 64, IF(J453&lt;=50, 72, 72 + ROUNDUP((J453-50)/10, 0)*8))))), IF(B453="Videó egyszereplős", ROUNDUP(J453/10,0)*2, IF(B453 ="Videó egyszereplős narrációval", ROUNDUP(J453/10,0)*3, IF(B453="Videó többszereplős", ROUNDUP(J453/10,0)*2, IF(B453 ="Videó többszereplős narrációval", ROUNDUP(J453/10,0)*4, IF(B453 ="Hangzóanyag", ROUNDUP(J453/10,0)*1, IF(B453="Interaktív animáció (szimuláció)",13,0))))))))))),0)</f>
        <v>0</v>
      </c>
      <c r="M453" s="106"/>
    </row>
    <row r="454" spans="1:13" ht="15.6" x14ac:dyDescent="0.3">
      <c r="A454" s="107"/>
      <c r="B454" s="101"/>
      <c r="C454" s="102"/>
      <c r="D454" s="102"/>
      <c r="E454" s="95"/>
      <c r="H454" s="96"/>
      <c r="I454" s="103"/>
      <c r="J454" s="104"/>
      <c r="K454" s="99">
        <f t="shared" si="7"/>
        <v>0</v>
      </c>
      <c r="M454" s="106"/>
    </row>
    <row r="455" spans="1:13" ht="15.6" x14ac:dyDescent="0.3">
      <c r="A455" s="107"/>
      <c r="B455" s="101"/>
      <c r="C455" s="102"/>
      <c r="D455" s="102"/>
      <c r="E455" s="95"/>
      <c r="H455" s="96"/>
      <c r="I455" s="103"/>
      <c r="J455" s="104"/>
      <c r="K455" s="99">
        <f t="shared" si="7"/>
        <v>0</v>
      </c>
      <c r="M455" s="106"/>
    </row>
    <row r="456" spans="1:13" ht="15.6" x14ac:dyDescent="0.3">
      <c r="A456" s="107"/>
      <c r="B456" s="101"/>
      <c r="C456" s="102"/>
      <c r="D456" s="102"/>
      <c r="E456" s="95"/>
      <c r="H456" s="96"/>
      <c r="I456" s="103"/>
      <c r="J456" s="104"/>
      <c r="K456" s="99">
        <f t="shared" si="7"/>
        <v>0</v>
      </c>
      <c r="M456" s="106"/>
    </row>
    <row r="457" spans="1:13" ht="15.6" x14ac:dyDescent="0.3">
      <c r="A457" s="107"/>
      <c r="B457" s="101"/>
      <c r="C457" s="102"/>
      <c r="D457" s="102"/>
      <c r="E457" s="95"/>
      <c r="H457" s="96"/>
      <c r="I457" s="103"/>
      <c r="J457" s="104"/>
      <c r="K457" s="99">
        <f t="shared" si="7"/>
        <v>0</v>
      </c>
      <c r="M457" s="106"/>
    </row>
    <row r="458" spans="1:13" ht="15.6" x14ac:dyDescent="0.3">
      <c r="A458" s="107"/>
      <c r="B458" s="101"/>
      <c r="C458" s="102"/>
      <c r="D458" s="102"/>
      <c r="E458" s="95"/>
      <c r="H458" s="96"/>
      <c r="I458" s="96"/>
      <c r="J458" s="108"/>
      <c r="K458" s="99">
        <f t="shared" si="7"/>
        <v>0</v>
      </c>
      <c r="M458" s="106"/>
    </row>
    <row r="459" spans="1:13" ht="15.6" x14ac:dyDescent="0.3">
      <c r="A459" s="107"/>
      <c r="B459" s="101"/>
      <c r="C459" s="102"/>
      <c r="D459" s="102"/>
      <c r="E459" s="95"/>
      <c r="H459" s="96"/>
      <c r="I459" s="103"/>
      <c r="J459" s="104"/>
      <c r="K459" s="99">
        <f t="shared" si="7"/>
        <v>0</v>
      </c>
      <c r="M459" s="106"/>
    </row>
    <row r="460" spans="1:13" ht="15.6" x14ac:dyDescent="0.3">
      <c r="A460" s="107"/>
      <c r="B460" s="101"/>
      <c r="C460" s="102"/>
      <c r="D460" s="102"/>
      <c r="E460" s="95"/>
      <c r="H460" s="96"/>
      <c r="I460" s="103"/>
      <c r="J460" s="104"/>
      <c r="K460" s="99">
        <f t="shared" si="7"/>
        <v>0</v>
      </c>
      <c r="M460" s="106"/>
    </row>
    <row r="461" spans="1:13" ht="15.6" x14ac:dyDescent="0.3">
      <c r="A461" s="107"/>
      <c r="B461" s="101"/>
      <c r="C461" s="102"/>
      <c r="D461" s="102"/>
      <c r="E461" s="95"/>
      <c r="H461" s="96"/>
      <c r="I461" s="103"/>
      <c r="J461" s="104"/>
      <c r="K461" s="99">
        <f t="shared" si="7"/>
        <v>0</v>
      </c>
      <c r="M461" s="106"/>
    </row>
    <row r="462" spans="1:13" ht="15.6" x14ac:dyDescent="0.3">
      <c r="A462" s="107"/>
      <c r="B462" s="101"/>
      <c r="C462" s="102"/>
      <c r="D462" s="102"/>
      <c r="E462" s="95"/>
      <c r="H462" s="96"/>
      <c r="I462" s="103"/>
      <c r="J462" s="104"/>
      <c r="K462" s="99">
        <f t="shared" si="7"/>
        <v>0</v>
      </c>
      <c r="M462" s="106"/>
    </row>
    <row r="463" spans="1:13" ht="15.6" x14ac:dyDescent="0.3">
      <c r="A463" s="107"/>
      <c r="B463" s="101"/>
      <c r="C463" s="102"/>
      <c r="D463" s="102"/>
      <c r="E463" s="95"/>
      <c r="H463" s="96"/>
      <c r="I463" s="96"/>
      <c r="J463" s="108"/>
      <c r="K463" s="99">
        <f t="shared" si="7"/>
        <v>0</v>
      </c>
      <c r="M463" s="106"/>
    </row>
    <row r="464" spans="1:13" ht="15.6" x14ac:dyDescent="0.3">
      <c r="A464" s="107"/>
      <c r="B464" s="101"/>
      <c r="C464" s="102"/>
      <c r="D464" s="102"/>
      <c r="E464" s="95"/>
      <c r="H464" s="96"/>
      <c r="I464" s="103"/>
      <c r="J464" s="104"/>
      <c r="K464" s="99">
        <f t="shared" si="7"/>
        <v>0</v>
      </c>
      <c r="M464" s="106"/>
    </row>
    <row r="465" spans="1:13" ht="15.6" x14ac:dyDescent="0.3">
      <c r="A465" s="107"/>
      <c r="B465" s="101"/>
      <c r="C465" s="102"/>
      <c r="D465" s="102"/>
      <c r="E465" s="95"/>
      <c r="H465" s="96"/>
      <c r="I465" s="103"/>
      <c r="J465" s="104"/>
      <c r="K465" s="99">
        <f t="shared" si="7"/>
        <v>0</v>
      </c>
      <c r="M465" s="106"/>
    </row>
    <row r="466" spans="1:13" ht="15.6" x14ac:dyDescent="0.3">
      <c r="A466" s="107"/>
      <c r="B466" s="101"/>
      <c r="C466" s="102"/>
      <c r="D466" s="102"/>
      <c r="E466" s="95"/>
      <c r="H466" s="96"/>
      <c r="I466" s="103"/>
      <c r="J466" s="104"/>
      <c r="K466" s="99">
        <f t="shared" si="7"/>
        <v>0</v>
      </c>
      <c r="M466" s="106"/>
    </row>
    <row r="467" spans="1:13" ht="15.6" x14ac:dyDescent="0.3">
      <c r="A467" s="107"/>
      <c r="B467" s="101"/>
      <c r="C467" s="102"/>
      <c r="D467" s="102"/>
      <c r="E467" s="95"/>
      <c r="H467" s="96"/>
      <c r="I467" s="103"/>
      <c r="J467" s="104"/>
      <c r="K467" s="99">
        <f t="shared" si="7"/>
        <v>0</v>
      </c>
      <c r="M467" s="106"/>
    </row>
    <row r="468" spans="1:13" ht="15.6" x14ac:dyDescent="0.3">
      <c r="A468" s="107"/>
      <c r="B468" s="101"/>
      <c r="C468" s="102"/>
      <c r="D468" s="102"/>
      <c r="E468" s="95"/>
      <c r="H468" s="96"/>
      <c r="I468" s="96"/>
      <c r="J468" s="108"/>
      <c r="K468" s="99">
        <f t="shared" si="7"/>
        <v>0</v>
      </c>
      <c r="M468" s="106"/>
    </row>
    <row r="469" spans="1:13" ht="15.6" x14ac:dyDescent="0.3">
      <c r="A469" s="107"/>
      <c r="B469" s="101"/>
      <c r="C469" s="102"/>
      <c r="D469" s="102"/>
      <c r="E469" s="95"/>
      <c r="H469" s="96"/>
      <c r="I469" s="103"/>
      <c r="J469" s="104"/>
      <c r="K469" s="99">
        <f t="shared" si="7"/>
        <v>0</v>
      </c>
      <c r="M469" s="106"/>
    </row>
    <row r="470" spans="1:13" ht="15.6" x14ac:dyDescent="0.3">
      <c r="A470" s="107"/>
      <c r="B470" s="101"/>
      <c r="C470" s="102"/>
      <c r="D470" s="102"/>
      <c r="E470" s="95"/>
      <c r="H470" s="96"/>
      <c r="I470" s="103"/>
      <c r="J470" s="104"/>
      <c r="K470" s="99">
        <f t="shared" si="7"/>
        <v>0</v>
      </c>
      <c r="M470" s="106"/>
    </row>
    <row r="471" spans="1:13" ht="15.6" x14ac:dyDescent="0.3">
      <c r="A471" s="107"/>
      <c r="B471" s="101"/>
      <c r="C471" s="102"/>
      <c r="D471" s="102"/>
      <c r="E471" s="95"/>
      <c r="H471" s="96"/>
      <c r="I471" s="103"/>
      <c r="J471" s="104"/>
      <c r="K471" s="99">
        <f t="shared" si="7"/>
        <v>0</v>
      </c>
      <c r="M471" s="106"/>
    </row>
    <row r="472" spans="1:13" ht="15.6" x14ac:dyDescent="0.3">
      <c r="A472" s="107"/>
      <c r="B472" s="101"/>
      <c r="C472" s="102"/>
      <c r="D472" s="102"/>
      <c r="E472" s="95"/>
      <c r="H472" s="96"/>
      <c r="I472" s="103"/>
      <c r="J472" s="104"/>
      <c r="K472" s="99">
        <f t="shared" si="7"/>
        <v>0</v>
      </c>
      <c r="M472" s="106"/>
    </row>
    <row r="473" spans="1:13" ht="15.6" x14ac:dyDescent="0.3">
      <c r="A473" s="107"/>
      <c r="B473" s="101"/>
      <c r="C473" s="102"/>
      <c r="D473" s="102"/>
      <c r="E473" s="95"/>
      <c r="H473" s="96"/>
      <c r="I473" s="96"/>
      <c r="J473" s="108"/>
      <c r="K473" s="99">
        <f t="shared" si="7"/>
        <v>0</v>
      </c>
      <c r="M473" s="106"/>
    </row>
    <row r="474" spans="1:13" ht="15.6" x14ac:dyDescent="0.3">
      <c r="A474" s="107"/>
      <c r="B474" s="101"/>
      <c r="C474" s="102"/>
      <c r="D474" s="102"/>
      <c r="E474" s="95"/>
      <c r="H474" s="96"/>
      <c r="I474" s="103"/>
      <c r="J474" s="104"/>
      <c r="K474" s="99">
        <f t="shared" si="7"/>
        <v>0</v>
      </c>
      <c r="M474" s="106"/>
    </row>
    <row r="475" spans="1:13" ht="15.6" x14ac:dyDescent="0.3">
      <c r="A475" s="107"/>
      <c r="B475" s="101"/>
      <c r="C475" s="102"/>
      <c r="D475" s="102"/>
      <c r="E475" s="95"/>
      <c r="H475" s="96"/>
      <c r="I475" s="103"/>
      <c r="J475" s="104"/>
      <c r="K475" s="99">
        <f t="shared" si="7"/>
        <v>0</v>
      </c>
      <c r="M475" s="106"/>
    </row>
    <row r="476" spans="1:13" ht="15.6" x14ac:dyDescent="0.3">
      <c r="A476" s="107"/>
      <c r="B476" s="101"/>
      <c r="C476" s="102"/>
      <c r="D476" s="102"/>
      <c r="E476" s="95"/>
      <c r="H476" s="96"/>
      <c r="I476" s="103"/>
      <c r="J476" s="104"/>
      <c r="K476" s="99">
        <f t="shared" si="7"/>
        <v>0</v>
      </c>
      <c r="M476" s="106"/>
    </row>
    <row r="477" spans="1:13" ht="15.6" x14ac:dyDescent="0.3">
      <c r="A477" s="107"/>
      <c r="B477" s="101"/>
      <c r="C477" s="102"/>
      <c r="D477" s="102"/>
      <c r="E477" s="95"/>
      <c r="H477" s="96"/>
      <c r="I477" s="103"/>
      <c r="J477" s="104"/>
      <c r="K477" s="99">
        <f t="shared" si="7"/>
        <v>0</v>
      </c>
      <c r="M477" s="106"/>
    </row>
    <row r="478" spans="1:13" ht="15.6" x14ac:dyDescent="0.3">
      <c r="A478" s="100"/>
      <c r="B478" s="101"/>
      <c r="C478" s="102"/>
      <c r="D478" s="102"/>
      <c r="E478" s="95"/>
      <c r="H478" s="96"/>
      <c r="I478" s="103"/>
      <c r="J478" s="104"/>
      <c r="K478" s="99">
        <f t="shared" si="7"/>
        <v>0</v>
      </c>
      <c r="M478" s="106"/>
    </row>
    <row r="479" spans="1:13" ht="15.6" x14ac:dyDescent="0.3">
      <c r="A479" s="100"/>
      <c r="B479" s="101"/>
      <c r="C479" s="102"/>
      <c r="D479" s="102"/>
      <c r="E479" s="95"/>
      <c r="H479" s="96"/>
      <c r="I479" s="103"/>
      <c r="J479" s="104"/>
      <c r="K479" s="99">
        <f t="shared" si="7"/>
        <v>0</v>
      </c>
      <c r="M479" s="106"/>
    </row>
    <row r="480" spans="1:13" ht="15.6" x14ac:dyDescent="0.3">
      <c r="A480" s="100"/>
      <c r="B480" s="101"/>
      <c r="C480" s="102"/>
      <c r="D480" s="102"/>
      <c r="E480" s="95"/>
      <c r="H480" s="96"/>
      <c r="I480" s="103"/>
      <c r="J480" s="104"/>
      <c r="K480" s="99">
        <f t="shared" si="7"/>
        <v>0</v>
      </c>
      <c r="M480" s="106"/>
    </row>
    <row r="481" spans="1:13" ht="15.6" x14ac:dyDescent="0.3">
      <c r="A481" s="107"/>
      <c r="B481" s="101"/>
      <c r="C481" s="102"/>
      <c r="D481" s="102"/>
      <c r="E481" s="95"/>
      <c r="H481" s="96"/>
      <c r="I481" s="96"/>
      <c r="J481" s="108"/>
      <c r="K481" s="99">
        <f t="shared" si="7"/>
        <v>0</v>
      </c>
      <c r="M481" s="106"/>
    </row>
    <row r="482" spans="1:13" ht="15.6" x14ac:dyDescent="0.3">
      <c r="A482" s="107"/>
      <c r="B482" s="101"/>
      <c r="C482" s="102"/>
      <c r="D482" s="102"/>
      <c r="E482" s="95"/>
      <c r="H482" s="96"/>
      <c r="I482" s="103"/>
      <c r="J482" s="104"/>
      <c r="K482" s="99">
        <f t="shared" si="7"/>
        <v>0</v>
      </c>
      <c r="M482" s="106"/>
    </row>
    <row r="483" spans="1:13" ht="15.6" x14ac:dyDescent="0.3">
      <c r="A483" s="107"/>
      <c r="B483" s="101"/>
      <c r="C483" s="102"/>
      <c r="D483" s="102"/>
      <c r="E483" s="95"/>
      <c r="H483" s="96"/>
      <c r="I483" s="103"/>
      <c r="J483" s="104"/>
      <c r="K483" s="99">
        <f t="shared" si="7"/>
        <v>0</v>
      </c>
      <c r="M483" s="106"/>
    </row>
    <row r="484" spans="1:13" ht="15.6" x14ac:dyDescent="0.3">
      <c r="A484" s="107"/>
      <c r="B484" s="101"/>
      <c r="C484" s="102"/>
      <c r="D484" s="102"/>
      <c r="E484" s="95"/>
      <c r="H484" s="96"/>
      <c r="I484" s="103"/>
      <c r="J484" s="104"/>
      <c r="K484" s="99">
        <f t="shared" si="7"/>
        <v>0</v>
      </c>
      <c r="M484" s="106"/>
    </row>
    <row r="485" spans="1:13" ht="15.6" x14ac:dyDescent="0.3">
      <c r="A485" s="107"/>
      <c r="B485" s="101"/>
      <c r="C485" s="102"/>
      <c r="D485" s="102"/>
      <c r="E485" s="95"/>
      <c r="H485" s="96"/>
      <c r="I485" s="103"/>
      <c r="J485" s="104"/>
      <c r="K485" s="99">
        <f t="shared" si="7"/>
        <v>0</v>
      </c>
      <c r="M485" s="106"/>
    </row>
    <row r="486" spans="1:13" ht="15.6" x14ac:dyDescent="0.3">
      <c r="A486" s="107"/>
      <c r="B486" s="101"/>
      <c r="C486" s="102"/>
      <c r="D486" s="102"/>
      <c r="E486" s="95"/>
      <c r="H486" s="96"/>
      <c r="I486" s="96"/>
      <c r="J486" s="108"/>
      <c r="K486" s="99">
        <f t="shared" si="7"/>
        <v>0</v>
      </c>
      <c r="M486" s="106"/>
    </row>
    <row r="487" spans="1:13" ht="15.6" x14ac:dyDescent="0.3">
      <c r="A487" s="107"/>
      <c r="B487" s="101"/>
      <c r="C487" s="102"/>
      <c r="D487" s="102"/>
      <c r="E487" s="95"/>
      <c r="H487" s="96"/>
      <c r="I487" s="103"/>
      <c r="J487" s="104"/>
      <c r="K487" s="99">
        <f t="shared" si="7"/>
        <v>0</v>
      </c>
      <c r="M487" s="106"/>
    </row>
    <row r="488" spans="1:13" ht="15.6" x14ac:dyDescent="0.3">
      <c r="A488" s="107"/>
      <c r="B488" s="101"/>
      <c r="C488" s="102"/>
      <c r="D488" s="102"/>
      <c r="E488" s="95"/>
      <c r="H488" s="96"/>
      <c r="I488" s="103"/>
      <c r="J488" s="104"/>
      <c r="K488" s="99">
        <f t="shared" si="7"/>
        <v>0</v>
      </c>
      <c r="M488" s="106"/>
    </row>
    <row r="489" spans="1:13" ht="15.6" x14ac:dyDescent="0.3">
      <c r="A489" s="107"/>
      <c r="B489" s="101"/>
      <c r="C489" s="102"/>
      <c r="D489" s="102"/>
      <c r="E489" s="95"/>
      <c r="H489" s="96"/>
      <c r="I489" s="103"/>
      <c r="J489" s="104"/>
      <c r="K489" s="99">
        <f t="shared" si="7"/>
        <v>0</v>
      </c>
      <c r="M489" s="106"/>
    </row>
    <row r="490" spans="1:13" ht="15.6" x14ac:dyDescent="0.3">
      <c r="A490" s="107"/>
      <c r="B490" s="101"/>
      <c r="C490" s="102"/>
      <c r="D490" s="102"/>
      <c r="E490" s="95"/>
      <c r="H490" s="96"/>
      <c r="I490" s="103"/>
      <c r="J490" s="104"/>
      <c r="K490" s="99">
        <f t="shared" si="7"/>
        <v>0</v>
      </c>
      <c r="M490" s="106"/>
    </row>
    <row r="491" spans="1:13" ht="15.6" x14ac:dyDescent="0.3">
      <c r="A491" s="107"/>
      <c r="B491" s="101"/>
      <c r="C491" s="102"/>
      <c r="D491" s="102"/>
      <c r="E491" s="95"/>
      <c r="H491" s="96"/>
      <c r="I491" s="96"/>
      <c r="J491" s="108"/>
      <c r="K491" s="99">
        <f t="shared" si="7"/>
        <v>0</v>
      </c>
      <c r="M491" s="106"/>
    </row>
    <row r="492" spans="1:13" ht="15.6" x14ac:dyDescent="0.3">
      <c r="A492" s="107"/>
      <c r="B492" s="101"/>
      <c r="C492" s="102"/>
      <c r="D492" s="102"/>
      <c r="E492" s="95"/>
      <c r="H492" s="96"/>
      <c r="I492" s="103"/>
      <c r="J492" s="104"/>
      <c r="K492" s="99">
        <f t="shared" si="7"/>
        <v>0</v>
      </c>
      <c r="M492" s="106"/>
    </row>
    <row r="493" spans="1:13" ht="15.6" x14ac:dyDescent="0.3">
      <c r="A493" s="107"/>
      <c r="B493" s="101"/>
      <c r="C493" s="102"/>
      <c r="D493" s="102"/>
      <c r="E493" s="95"/>
      <c r="H493" s="96"/>
      <c r="I493" s="103"/>
      <c r="J493" s="104"/>
      <c r="K493" s="99">
        <f t="shared" si="7"/>
        <v>0</v>
      </c>
      <c r="M493" s="106"/>
    </row>
    <row r="494" spans="1:13" ht="15.6" x14ac:dyDescent="0.3">
      <c r="A494" s="107"/>
      <c r="B494" s="101"/>
      <c r="C494" s="102"/>
      <c r="D494" s="102"/>
      <c r="E494" s="95"/>
      <c r="H494" s="96"/>
      <c r="I494" s="103"/>
      <c r="J494" s="104"/>
      <c r="K494" s="99">
        <f t="shared" si="7"/>
        <v>0</v>
      </c>
      <c r="M494" s="106"/>
    </row>
    <row r="495" spans="1:13" ht="15.6" x14ac:dyDescent="0.3">
      <c r="A495" s="107"/>
      <c r="B495" s="101"/>
      <c r="C495" s="102"/>
      <c r="D495" s="102"/>
      <c r="E495" s="95"/>
      <c r="H495" s="96"/>
      <c r="I495" s="103"/>
      <c r="J495" s="104"/>
      <c r="K495" s="99">
        <f t="shared" si="7"/>
        <v>0</v>
      </c>
      <c r="M495" s="106"/>
    </row>
    <row r="496" spans="1:13" ht="15.6" x14ac:dyDescent="0.3">
      <c r="A496" s="107"/>
      <c r="B496" s="101"/>
      <c r="C496" s="102"/>
      <c r="D496" s="102"/>
      <c r="E496" s="95"/>
      <c r="H496" s="96"/>
      <c r="I496" s="96"/>
      <c r="J496" s="108"/>
      <c r="K496" s="99">
        <f t="shared" si="7"/>
        <v>0</v>
      </c>
      <c r="M496" s="106"/>
    </row>
    <row r="497" spans="1:13" ht="15.6" x14ac:dyDescent="0.3">
      <c r="A497" s="107"/>
      <c r="B497" s="101"/>
      <c r="C497" s="102"/>
      <c r="D497" s="102"/>
      <c r="E497" s="95"/>
      <c r="H497" s="96"/>
      <c r="I497" s="103"/>
      <c r="J497" s="104"/>
      <c r="K497" s="99">
        <f t="shared" si="7"/>
        <v>0</v>
      </c>
      <c r="M497" s="106"/>
    </row>
    <row r="498" spans="1:13" ht="15.6" x14ac:dyDescent="0.3">
      <c r="A498" s="107"/>
      <c r="B498" s="101"/>
      <c r="C498" s="102"/>
      <c r="D498" s="102"/>
      <c r="E498" s="95"/>
      <c r="H498" s="96"/>
      <c r="I498" s="103"/>
      <c r="J498" s="104"/>
      <c r="K498" s="99">
        <f t="shared" si="7"/>
        <v>0</v>
      </c>
      <c r="M498" s="106"/>
    </row>
    <row r="499" spans="1:13" x14ac:dyDescent="0.3">
      <c r="A499" s="107"/>
      <c r="B499" s="101"/>
      <c r="C499" s="102"/>
      <c r="D499" s="102"/>
      <c r="E499" s="95"/>
      <c r="H499" s="96"/>
      <c r="I499" s="103"/>
      <c r="J499" s="104"/>
      <c r="K499" s="99">
        <f t="shared" si="7"/>
        <v>0</v>
      </c>
      <c r="M499" s="66"/>
    </row>
    <row r="500" spans="1:13" ht="15.6" x14ac:dyDescent="0.3">
      <c r="A500" s="107"/>
      <c r="B500" s="101"/>
      <c r="C500" s="102"/>
      <c r="D500" s="102"/>
      <c r="E500" s="95"/>
      <c r="H500" s="96"/>
      <c r="I500" s="103"/>
      <c r="J500" s="104"/>
      <c r="K500" s="99">
        <f t="shared" si="7"/>
        <v>0</v>
      </c>
      <c r="M500" s="106"/>
    </row>
    <row r="501" spans="1:13" ht="15.6" x14ac:dyDescent="0.3">
      <c r="A501" s="107"/>
      <c r="B501" s="101"/>
      <c r="C501" s="102"/>
      <c r="D501" s="102"/>
      <c r="E501" s="95"/>
      <c r="H501" s="96"/>
      <c r="I501" s="96"/>
      <c r="J501" s="108"/>
      <c r="K501" s="99">
        <f t="shared" si="7"/>
        <v>0</v>
      </c>
      <c r="M501" s="106"/>
    </row>
    <row r="502" spans="1:13" ht="15.6" x14ac:dyDescent="0.3">
      <c r="A502" s="107"/>
      <c r="B502" s="101"/>
      <c r="C502" s="102"/>
      <c r="D502" s="102"/>
      <c r="E502" s="95"/>
      <c r="H502" s="96"/>
      <c r="I502" s="103"/>
      <c r="J502" s="104"/>
      <c r="K502" s="99">
        <f t="shared" si="7"/>
        <v>0</v>
      </c>
      <c r="M502" s="106"/>
    </row>
    <row r="503" spans="1:13" ht="15.6" x14ac:dyDescent="0.3">
      <c r="A503" s="107"/>
      <c r="B503" s="101"/>
      <c r="C503" s="102"/>
      <c r="D503" s="102"/>
      <c r="E503" s="95"/>
      <c r="H503" s="96"/>
      <c r="I503" s="103"/>
      <c r="J503" s="104"/>
      <c r="K503" s="99">
        <f t="shared" si="7"/>
        <v>0</v>
      </c>
      <c r="M503" s="106"/>
    </row>
    <row r="504" spans="1:13" ht="15.6" x14ac:dyDescent="0.3">
      <c r="A504" s="107"/>
      <c r="B504" s="101"/>
      <c r="C504" s="102"/>
      <c r="D504" s="102"/>
      <c r="E504" s="95"/>
      <c r="H504" s="96"/>
      <c r="I504" s="103"/>
      <c r="J504" s="104"/>
      <c r="K504" s="99">
        <f t="shared" si="7"/>
        <v>0</v>
      </c>
      <c r="M504" s="106"/>
    </row>
    <row r="505" spans="1:13" ht="15.6" x14ac:dyDescent="0.3">
      <c r="A505" s="107"/>
      <c r="B505" s="101"/>
      <c r="C505" s="102"/>
      <c r="D505" s="102"/>
      <c r="E505" s="95"/>
      <c r="H505" s="96"/>
      <c r="I505" s="103"/>
      <c r="J505" s="104"/>
      <c r="K505" s="99">
        <f t="shared" si="7"/>
        <v>0</v>
      </c>
      <c r="M505" s="106"/>
    </row>
    <row r="506" spans="1:13" ht="15.6" x14ac:dyDescent="0.3">
      <c r="A506" s="107"/>
      <c r="B506" s="101"/>
      <c r="C506" s="102"/>
      <c r="D506" s="102"/>
      <c r="E506" s="95"/>
      <c r="H506" s="96"/>
      <c r="I506" s="96"/>
      <c r="J506" s="108"/>
      <c r="K506" s="99">
        <f t="shared" si="7"/>
        <v>0</v>
      </c>
      <c r="M506" s="106"/>
    </row>
    <row r="507" spans="1:13" ht="15.6" x14ac:dyDescent="0.3">
      <c r="A507" s="107"/>
      <c r="B507" s="101"/>
      <c r="C507" s="102"/>
      <c r="D507" s="102"/>
      <c r="E507" s="95"/>
      <c r="H507" s="96"/>
      <c r="I507" s="103"/>
      <c r="J507" s="104"/>
      <c r="K507" s="99">
        <f t="shared" si="7"/>
        <v>0</v>
      </c>
      <c r="M507" s="106"/>
    </row>
    <row r="508" spans="1:13" ht="15.6" x14ac:dyDescent="0.3">
      <c r="A508" s="107"/>
      <c r="B508" s="101"/>
      <c r="C508" s="102"/>
      <c r="D508" s="102"/>
      <c r="E508" s="95"/>
      <c r="H508" s="96"/>
      <c r="I508" s="103"/>
      <c r="J508" s="104"/>
      <c r="K508" s="99">
        <f t="shared" si="7"/>
        <v>0</v>
      </c>
      <c r="M508" s="106"/>
    </row>
    <row r="509" spans="1:13" ht="15.6" x14ac:dyDescent="0.3">
      <c r="A509" s="107"/>
      <c r="B509" s="101"/>
      <c r="C509" s="102"/>
      <c r="D509" s="102"/>
      <c r="E509" s="95"/>
      <c r="H509" s="96"/>
      <c r="I509" s="103"/>
      <c r="J509" s="104"/>
      <c r="K509" s="99">
        <f t="shared" si="7"/>
        <v>0</v>
      </c>
      <c r="M509" s="106"/>
    </row>
    <row r="510" spans="1:13" ht="15.6" x14ac:dyDescent="0.3">
      <c r="A510" s="107"/>
      <c r="B510" s="101"/>
      <c r="C510" s="102"/>
      <c r="D510" s="102"/>
      <c r="E510" s="95"/>
      <c r="H510" s="96"/>
      <c r="I510" s="103"/>
      <c r="J510" s="104"/>
      <c r="K510" s="99">
        <f t="shared" si="7"/>
        <v>0</v>
      </c>
      <c r="M510" s="106"/>
    </row>
    <row r="511" spans="1:13" ht="15.6" x14ac:dyDescent="0.3">
      <c r="A511" s="107"/>
      <c r="B511" s="101"/>
      <c r="C511" s="102"/>
      <c r="D511" s="102"/>
      <c r="E511" s="95"/>
      <c r="H511" s="96"/>
      <c r="I511" s="96"/>
      <c r="J511" s="108"/>
      <c r="K511" s="99">
        <f t="shared" si="7"/>
        <v>0</v>
      </c>
      <c r="M511" s="106"/>
    </row>
    <row r="512" spans="1:13" ht="15.6" x14ac:dyDescent="0.3">
      <c r="A512" s="107"/>
      <c r="B512" s="101"/>
      <c r="C512" s="102"/>
      <c r="D512" s="102"/>
      <c r="E512" s="95"/>
      <c r="H512" s="96"/>
      <c r="I512" s="103"/>
      <c r="J512" s="104"/>
      <c r="K512" s="99">
        <f t="shared" si="7"/>
        <v>0</v>
      </c>
      <c r="M512" s="106"/>
    </row>
    <row r="513" spans="1:13" ht="15.6" x14ac:dyDescent="0.3">
      <c r="A513" s="107"/>
      <c r="B513" s="101"/>
      <c r="C513" s="102"/>
      <c r="D513" s="102"/>
      <c r="E513" s="95"/>
      <c r="H513" s="96"/>
      <c r="I513" s="103"/>
      <c r="J513" s="104"/>
      <c r="K513" s="99">
        <f t="shared" si="7"/>
        <v>0</v>
      </c>
      <c r="M513" s="106"/>
    </row>
    <row r="514" spans="1:13" ht="15.6" x14ac:dyDescent="0.3">
      <c r="A514" s="107"/>
      <c r="B514" s="101"/>
      <c r="C514" s="102"/>
      <c r="D514" s="102"/>
      <c r="E514" s="95"/>
      <c r="H514" s="96"/>
      <c r="I514" s="103"/>
      <c r="J514" s="104"/>
      <c r="K514" s="99">
        <f t="shared" si="7"/>
        <v>0</v>
      </c>
      <c r="M514" s="106"/>
    </row>
    <row r="515" spans="1:13" ht="15.6" x14ac:dyDescent="0.3">
      <c r="A515" s="107"/>
      <c r="B515" s="101"/>
      <c r="C515" s="102"/>
      <c r="D515" s="102"/>
      <c r="E515" s="95"/>
      <c r="H515" s="96"/>
      <c r="I515" s="103"/>
      <c r="J515" s="104"/>
      <c r="K515" s="99">
        <f t="shared" si="7"/>
        <v>0</v>
      </c>
      <c r="M515" s="106"/>
    </row>
    <row r="516" spans="1:13" ht="15.6" x14ac:dyDescent="0.3">
      <c r="A516" s="107"/>
      <c r="B516" s="101"/>
      <c r="C516" s="102"/>
      <c r="D516" s="102"/>
      <c r="E516" s="95"/>
      <c r="H516" s="96"/>
      <c r="I516" s="96"/>
      <c r="J516" s="108"/>
      <c r="K516" s="99">
        <f t="shared" si="7"/>
        <v>0</v>
      </c>
      <c r="M516" s="106"/>
    </row>
    <row r="517" spans="1:13" ht="15.6" x14ac:dyDescent="0.3">
      <c r="A517" s="107"/>
      <c r="B517" s="101"/>
      <c r="C517" s="102"/>
      <c r="D517" s="102"/>
      <c r="E517" s="95"/>
      <c r="H517" s="96"/>
      <c r="I517" s="103"/>
      <c r="J517" s="104"/>
      <c r="K517" s="99">
        <f t="shared" ref="K517:K580" si="8">IF(H517 ="x",IF(B517="Fotó", 1,IF(B517 = "2D grafika", 3, IF(B517 = "3D grafika", 8, IF(B517 ="2D animáció", IF(J517&lt;=10, 25, IF(J517&lt;=20, 28, IF(J517&lt;=30, 31, IF(J517&lt;=40, 34, IF(J517&lt;=50, 37, 37 + ROUNDUP((J517-50)/10, 0)*3))))),IF(B517="3D animáció", IF(J517&lt;=10, 40, IF(J517&lt;=20, 48, IF(J517&lt;=30, 56, IF(J517&lt;=40, 64, IF(J517&lt;=50, 72, 72 + ROUNDUP((J517-50)/10, 0)*8))))), IF(B517="Videó egyszereplős", ROUNDUP(J517/10,0)*2, IF(B517 ="Videó egyszereplős narrációval", ROUNDUP(J517/10,0)*3, IF(B517="Videó többszereplős", ROUNDUP(J517/10,0)*2, IF(B517 ="Videó többszereplős narrációval", ROUNDUP(J517/10,0)*4, IF(B517 ="Hangzóanyag", ROUNDUP(J517/10,0)*1, IF(B517="Interaktív animáció (szimuláció)",13,0))))))))))),0)</f>
        <v>0</v>
      </c>
      <c r="M517" s="106"/>
    </row>
    <row r="518" spans="1:13" ht="15.6" x14ac:dyDescent="0.3">
      <c r="A518" s="107"/>
      <c r="B518" s="101"/>
      <c r="C518" s="102"/>
      <c r="D518" s="102"/>
      <c r="E518" s="95"/>
      <c r="H518" s="96"/>
      <c r="I518" s="103"/>
      <c r="J518" s="104"/>
      <c r="K518" s="99">
        <f t="shared" si="8"/>
        <v>0</v>
      </c>
      <c r="M518" s="106"/>
    </row>
    <row r="519" spans="1:13" ht="15.6" x14ac:dyDescent="0.3">
      <c r="A519" s="107"/>
      <c r="B519" s="101"/>
      <c r="C519" s="102"/>
      <c r="D519" s="102"/>
      <c r="E519" s="95"/>
      <c r="H519" s="96"/>
      <c r="I519" s="103"/>
      <c r="J519" s="104"/>
      <c r="K519" s="99">
        <f t="shared" si="8"/>
        <v>0</v>
      </c>
      <c r="M519" s="106"/>
    </row>
    <row r="520" spans="1:13" ht="15.6" x14ac:dyDescent="0.3">
      <c r="A520" s="107"/>
      <c r="B520" s="101"/>
      <c r="C520" s="102"/>
      <c r="D520" s="102"/>
      <c r="E520" s="95"/>
      <c r="H520" s="96"/>
      <c r="I520" s="103"/>
      <c r="J520" s="104"/>
      <c r="K520" s="99">
        <f t="shared" si="8"/>
        <v>0</v>
      </c>
      <c r="M520" s="106"/>
    </row>
    <row r="521" spans="1:13" ht="15.6" x14ac:dyDescent="0.3">
      <c r="A521" s="107"/>
      <c r="B521" s="101"/>
      <c r="C521" s="102"/>
      <c r="D521" s="102"/>
      <c r="E521" s="95"/>
      <c r="H521" s="96"/>
      <c r="I521" s="96"/>
      <c r="J521" s="108"/>
      <c r="K521" s="99">
        <f t="shared" si="8"/>
        <v>0</v>
      </c>
      <c r="M521" s="106"/>
    </row>
    <row r="522" spans="1:13" ht="15.6" x14ac:dyDescent="0.3">
      <c r="A522" s="107"/>
      <c r="B522" s="101"/>
      <c r="C522" s="102"/>
      <c r="D522" s="102"/>
      <c r="E522" s="95"/>
      <c r="H522" s="96"/>
      <c r="I522" s="103"/>
      <c r="J522" s="104"/>
      <c r="K522" s="99">
        <f t="shared" si="8"/>
        <v>0</v>
      </c>
      <c r="M522" s="106"/>
    </row>
    <row r="523" spans="1:13" ht="15.6" x14ac:dyDescent="0.3">
      <c r="A523" s="107"/>
      <c r="B523" s="101"/>
      <c r="C523" s="102"/>
      <c r="D523" s="102"/>
      <c r="E523" s="95"/>
      <c r="H523" s="96"/>
      <c r="I523" s="103"/>
      <c r="J523" s="104"/>
      <c r="K523" s="99">
        <f t="shared" si="8"/>
        <v>0</v>
      </c>
      <c r="M523" s="106"/>
    </row>
    <row r="524" spans="1:13" ht="15.6" x14ac:dyDescent="0.3">
      <c r="A524" s="107"/>
      <c r="B524" s="101"/>
      <c r="C524" s="102"/>
      <c r="D524" s="102"/>
      <c r="E524" s="95"/>
      <c r="H524" s="96"/>
      <c r="I524" s="103"/>
      <c r="J524" s="104"/>
      <c r="K524" s="99">
        <f t="shared" si="8"/>
        <v>0</v>
      </c>
      <c r="M524" s="106"/>
    </row>
    <row r="525" spans="1:13" ht="15.6" x14ac:dyDescent="0.3">
      <c r="A525" s="107"/>
      <c r="B525" s="101"/>
      <c r="C525" s="102"/>
      <c r="D525" s="102"/>
      <c r="E525" s="95"/>
      <c r="H525" s="96"/>
      <c r="I525" s="103"/>
      <c r="J525" s="104"/>
      <c r="K525" s="99">
        <f t="shared" si="8"/>
        <v>0</v>
      </c>
      <c r="M525" s="106"/>
    </row>
    <row r="526" spans="1:13" ht="15.6" x14ac:dyDescent="0.3">
      <c r="A526" s="107"/>
      <c r="B526" s="101"/>
      <c r="C526" s="102"/>
      <c r="D526" s="102"/>
      <c r="E526" s="95"/>
      <c r="H526" s="96"/>
      <c r="I526" s="96"/>
      <c r="J526" s="108"/>
      <c r="K526" s="99">
        <f t="shared" si="8"/>
        <v>0</v>
      </c>
      <c r="M526" s="106"/>
    </row>
    <row r="527" spans="1:13" ht="15.6" x14ac:dyDescent="0.3">
      <c r="A527" s="107"/>
      <c r="B527" s="101"/>
      <c r="C527" s="102"/>
      <c r="D527" s="102"/>
      <c r="E527" s="95"/>
      <c r="H527" s="96"/>
      <c r="I527" s="103"/>
      <c r="J527" s="104"/>
      <c r="K527" s="99">
        <f t="shared" si="8"/>
        <v>0</v>
      </c>
      <c r="M527" s="106"/>
    </row>
    <row r="528" spans="1:13" ht="15.6" x14ac:dyDescent="0.3">
      <c r="A528" s="107"/>
      <c r="B528" s="101"/>
      <c r="C528" s="102"/>
      <c r="D528" s="102"/>
      <c r="E528" s="95"/>
      <c r="H528" s="96"/>
      <c r="I528" s="103"/>
      <c r="J528" s="104"/>
      <c r="K528" s="99">
        <f t="shared" si="8"/>
        <v>0</v>
      </c>
      <c r="M528" s="106"/>
    </row>
    <row r="529" spans="1:13" ht="15.6" x14ac:dyDescent="0.3">
      <c r="A529" s="107"/>
      <c r="B529" s="101"/>
      <c r="C529" s="102"/>
      <c r="D529" s="102"/>
      <c r="E529" s="95"/>
      <c r="H529" s="96"/>
      <c r="I529" s="103"/>
      <c r="J529" s="104"/>
      <c r="K529" s="99">
        <f t="shared" si="8"/>
        <v>0</v>
      </c>
      <c r="M529" s="106"/>
    </row>
    <row r="530" spans="1:13" ht="15.6" x14ac:dyDescent="0.3">
      <c r="A530" s="107"/>
      <c r="B530" s="101"/>
      <c r="C530" s="102"/>
      <c r="D530" s="102"/>
      <c r="E530" s="95"/>
      <c r="H530" s="96"/>
      <c r="I530" s="103"/>
      <c r="J530" s="104"/>
      <c r="K530" s="99">
        <f t="shared" si="8"/>
        <v>0</v>
      </c>
      <c r="M530" s="106"/>
    </row>
    <row r="531" spans="1:13" ht="15.6" x14ac:dyDescent="0.3">
      <c r="A531" s="107"/>
      <c r="B531" s="101"/>
      <c r="C531" s="102"/>
      <c r="D531" s="102"/>
      <c r="E531" s="95"/>
      <c r="H531" s="96"/>
      <c r="I531" s="96"/>
      <c r="J531" s="108"/>
      <c r="K531" s="99">
        <f t="shared" si="8"/>
        <v>0</v>
      </c>
      <c r="M531" s="106"/>
    </row>
    <row r="532" spans="1:13" ht="15.6" x14ac:dyDescent="0.3">
      <c r="A532" s="107"/>
      <c r="B532" s="101"/>
      <c r="C532" s="102"/>
      <c r="D532" s="102"/>
      <c r="E532" s="95"/>
      <c r="H532" s="96"/>
      <c r="I532" s="103"/>
      <c r="J532" s="104"/>
      <c r="K532" s="99">
        <f t="shared" si="8"/>
        <v>0</v>
      </c>
      <c r="M532" s="106"/>
    </row>
    <row r="533" spans="1:13" ht="15.6" x14ac:dyDescent="0.3">
      <c r="A533" s="107"/>
      <c r="B533" s="101"/>
      <c r="C533" s="102"/>
      <c r="D533" s="102"/>
      <c r="E533" s="95"/>
      <c r="H533" s="96"/>
      <c r="I533" s="103"/>
      <c r="J533" s="104"/>
      <c r="K533" s="99">
        <f t="shared" si="8"/>
        <v>0</v>
      </c>
      <c r="M533" s="106"/>
    </row>
    <row r="534" spans="1:13" ht="15.6" x14ac:dyDescent="0.3">
      <c r="A534" s="107"/>
      <c r="B534" s="101"/>
      <c r="C534" s="102"/>
      <c r="D534" s="102"/>
      <c r="E534" s="95"/>
      <c r="H534" s="96"/>
      <c r="I534" s="103"/>
      <c r="J534" s="104"/>
      <c r="K534" s="99">
        <f t="shared" si="8"/>
        <v>0</v>
      </c>
      <c r="M534" s="106"/>
    </row>
    <row r="535" spans="1:13" ht="15.6" x14ac:dyDescent="0.3">
      <c r="A535" s="107"/>
      <c r="B535" s="101"/>
      <c r="C535" s="102"/>
      <c r="D535" s="102"/>
      <c r="E535" s="95"/>
      <c r="H535" s="96"/>
      <c r="I535" s="103"/>
      <c r="J535" s="104"/>
      <c r="K535" s="99">
        <f t="shared" si="8"/>
        <v>0</v>
      </c>
      <c r="M535" s="106"/>
    </row>
    <row r="536" spans="1:13" ht="15.6" x14ac:dyDescent="0.3">
      <c r="A536" s="100"/>
      <c r="B536" s="101"/>
      <c r="C536" s="102"/>
      <c r="D536" s="102"/>
      <c r="E536" s="95"/>
      <c r="H536" s="96"/>
      <c r="I536" s="103"/>
      <c r="J536" s="104"/>
      <c r="K536" s="99">
        <f t="shared" si="8"/>
        <v>0</v>
      </c>
      <c r="M536" s="106"/>
    </row>
    <row r="537" spans="1:13" ht="15.6" x14ac:dyDescent="0.3">
      <c r="A537" s="100"/>
      <c r="B537" s="101"/>
      <c r="C537" s="102"/>
      <c r="D537" s="102"/>
      <c r="E537" s="95"/>
      <c r="H537" s="96"/>
      <c r="I537" s="103"/>
      <c r="J537" s="104"/>
      <c r="K537" s="99">
        <f t="shared" si="8"/>
        <v>0</v>
      </c>
      <c r="M537" s="106"/>
    </row>
    <row r="538" spans="1:13" ht="15.6" x14ac:dyDescent="0.3">
      <c r="A538" s="100"/>
      <c r="B538" s="101"/>
      <c r="C538" s="102"/>
      <c r="D538" s="102"/>
      <c r="E538" s="95"/>
      <c r="H538" s="96"/>
      <c r="I538" s="103"/>
      <c r="J538" s="104"/>
      <c r="K538" s="99">
        <f t="shared" si="8"/>
        <v>0</v>
      </c>
      <c r="M538" s="106"/>
    </row>
    <row r="539" spans="1:13" ht="15.6" x14ac:dyDescent="0.3">
      <c r="A539" s="100"/>
      <c r="B539" s="101"/>
      <c r="C539" s="102"/>
      <c r="D539" s="102"/>
      <c r="E539" s="95"/>
      <c r="H539" s="96"/>
      <c r="I539" s="103"/>
      <c r="J539" s="104"/>
      <c r="K539" s="99">
        <f t="shared" si="8"/>
        <v>0</v>
      </c>
      <c r="M539" s="106"/>
    </row>
    <row r="540" spans="1:13" ht="15.6" x14ac:dyDescent="0.3">
      <c r="A540" s="107"/>
      <c r="B540" s="101"/>
      <c r="C540" s="102"/>
      <c r="D540" s="102"/>
      <c r="E540" s="95"/>
      <c r="H540" s="96"/>
      <c r="I540" s="96"/>
      <c r="J540" s="108"/>
      <c r="K540" s="99">
        <f t="shared" si="8"/>
        <v>0</v>
      </c>
      <c r="M540" s="106"/>
    </row>
    <row r="541" spans="1:13" ht="15.6" x14ac:dyDescent="0.3">
      <c r="A541" s="107"/>
      <c r="B541" s="101"/>
      <c r="C541" s="102"/>
      <c r="D541" s="102"/>
      <c r="E541" s="95"/>
      <c r="H541" s="96"/>
      <c r="I541" s="103"/>
      <c r="J541" s="104"/>
      <c r="K541" s="99">
        <f t="shared" si="8"/>
        <v>0</v>
      </c>
      <c r="M541" s="106"/>
    </row>
    <row r="542" spans="1:13" ht="15.6" x14ac:dyDescent="0.3">
      <c r="A542" s="107"/>
      <c r="B542" s="101"/>
      <c r="C542" s="102"/>
      <c r="D542" s="102"/>
      <c r="E542" s="95"/>
      <c r="H542" s="96"/>
      <c r="I542" s="103"/>
      <c r="J542" s="104"/>
      <c r="K542" s="99">
        <f t="shared" si="8"/>
        <v>0</v>
      </c>
      <c r="M542" s="106"/>
    </row>
    <row r="543" spans="1:13" ht="15.6" x14ac:dyDescent="0.3">
      <c r="A543" s="107"/>
      <c r="B543" s="101"/>
      <c r="C543" s="102"/>
      <c r="D543" s="102"/>
      <c r="E543" s="95"/>
      <c r="H543" s="96"/>
      <c r="I543" s="103"/>
      <c r="J543" s="104"/>
      <c r="K543" s="99">
        <f t="shared" si="8"/>
        <v>0</v>
      </c>
      <c r="M543" s="106"/>
    </row>
    <row r="544" spans="1:13" ht="15.6" x14ac:dyDescent="0.3">
      <c r="A544" s="107"/>
      <c r="B544" s="101"/>
      <c r="C544" s="102"/>
      <c r="D544" s="102"/>
      <c r="E544" s="95"/>
      <c r="H544" s="96"/>
      <c r="I544" s="103"/>
      <c r="J544" s="104"/>
      <c r="K544" s="99">
        <f t="shared" si="8"/>
        <v>0</v>
      </c>
      <c r="M544" s="106"/>
    </row>
    <row r="545" spans="1:13" ht="15.6" x14ac:dyDescent="0.3">
      <c r="A545" s="107"/>
      <c r="B545" s="101"/>
      <c r="C545" s="102"/>
      <c r="D545" s="102"/>
      <c r="E545" s="95"/>
      <c r="H545" s="96"/>
      <c r="I545" s="96"/>
      <c r="J545" s="108"/>
      <c r="K545" s="99">
        <f t="shared" si="8"/>
        <v>0</v>
      </c>
      <c r="M545" s="106"/>
    </row>
    <row r="546" spans="1:13" ht="15.6" x14ac:dyDescent="0.3">
      <c r="A546" s="107"/>
      <c r="B546" s="101"/>
      <c r="C546" s="102"/>
      <c r="D546" s="102"/>
      <c r="E546" s="95"/>
      <c r="H546" s="96"/>
      <c r="I546" s="103"/>
      <c r="J546" s="104"/>
      <c r="K546" s="99">
        <f t="shared" si="8"/>
        <v>0</v>
      </c>
      <c r="M546" s="106"/>
    </row>
    <row r="547" spans="1:13" ht="15.6" x14ac:dyDescent="0.3">
      <c r="A547" s="107"/>
      <c r="B547" s="101"/>
      <c r="C547" s="102"/>
      <c r="D547" s="102"/>
      <c r="E547" s="95"/>
      <c r="H547" s="96"/>
      <c r="I547" s="103"/>
      <c r="J547" s="104"/>
      <c r="K547" s="99">
        <f t="shared" si="8"/>
        <v>0</v>
      </c>
      <c r="M547" s="106"/>
    </row>
    <row r="548" spans="1:13" ht="15.6" x14ac:dyDescent="0.3">
      <c r="A548" s="107"/>
      <c r="B548" s="101"/>
      <c r="C548" s="102"/>
      <c r="D548" s="102"/>
      <c r="E548" s="95"/>
      <c r="H548" s="96"/>
      <c r="I548" s="103"/>
      <c r="J548" s="104"/>
      <c r="K548" s="99">
        <f t="shared" si="8"/>
        <v>0</v>
      </c>
      <c r="M548" s="106"/>
    </row>
    <row r="549" spans="1:13" ht="15.6" x14ac:dyDescent="0.3">
      <c r="A549" s="107"/>
      <c r="B549" s="101"/>
      <c r="C549" s="102"/>
      <c r="D549" s="102"/>
      <c r="E549" s="95"/>
      <c r="H549" s="96"/>
      <c r="I549" s="103"/>
      <c r="J549" s="104"/>
      <c r="K549" s="99">
        <f t="shared" si="8"/>
        <v>0</v>
      </c>
      <c r="M549" s="106"/>
    </row>
    <row r="550" spans="1:13" ht="15.6" x14ac:dyDescent="0.3">
      <c r="A550" s="107"/>
      <c r="B550" s="101"/>
      <c r="C550" s="102"/>
      <c r="D550" s="102"/>
      <c r="E550" s="95"/>
      <c r="H550" s="96"/>
      <c r="I550" s="96"/>
      <c r="J550" s="108"/>
      <c r="K550" s="99">
        <f t="shared" si="8"/>
        <v>0</v>
      </c>
      <c r="M550" s="106"/>
    </row>
    <row r="551" spans="1:13" ht="15.6" x14ac:dyDescent="0.3">
      <c r="A551" s="107"/>
      <c r="B551" s="101"/>
      <c r="C551" s="102"/>
      <c r="D551" s="102"/>
      <c r="E551" s="95"/>
      <c r="H551" s="96"/>
      <c r="I551" s="103"/>
      <c r="J551" s="104"/>
      <c r="K551" s="99">
        <f t="shared" si="8"/>
        <v>0</v>
      </c>
      <c r="M551" s="106"/>
    </row>
    <row r="552" spans="1:13" ht="15.6" x14ac:dyDescent="0.3">
      <c r="A552" s="107"/>
      <c r="B552" s="101"/>
      <c r="C552" s="102"/>
      <c r="D552" s="102"/>
      <c r="E552" s="95"/>
      <c r="H552" s="96"/>
      <c r="I552" s="103"/>
      <c r="J552" s="104"/>
      <c r="K552" s="99">
        <f t="shared" si="8"/>
        <v>0</v>
      </c>
      <c r="M552" s="106"/>
    </row>
    <row r="553" spans="1:13" ht="15.6" x14ac:dyDescent="0.3">
      <c r="A553" s="107"/>
      <c r="B553" s="101"/>
      <c r="C553" s="102"/>
      <c r="D553" s="102"/>
      <c r="E553" s="95"/>
      <c r="H553" s="96"/>
      <c r="I553" s="103"/>
      <c r="J553" s="104"/>
      <c r="K553" s="99">
        <f t="shared" si="8"/>
        <v>0</v>
      </c>
      <c r="M553" s="106"/>
    </row>
    <row r="554" spans="1:13" ht="15.6" x14ac:dyDescent="0.3">
      <c r="A554" s="107"/>
      <c r="B554" s="101"/>
      <c r="C554" s="102"/>
      <c r="D554" s="102"/>
      <c r="E554" s="95"/>
      <c r="H554" s="96"/>
      <c r="I554" s="103"/>
      <c r="J554" s="104"/>
      <c r="K554" s="99">
        <f t="shared" si="8"/>
        <v>0</v>
      </c>
      <c r="M554" s="106"/>
    </row>
    <row r="555" spans="1:13" ht="15.6" x14ac:dyDescent="0.3">
      <c r="A555" s="107"/>
      <c r="B555" s="101"/>
      <c r="C555" s="102"/>
      <c r="D555" s="102"/>
      <c r="E555" s="95"/>
      <c r="H555" s="96"/>
      <c r="I555" s="96"/>
      <c r="J555" s="108"/>
      <c r="K555" s="99">
        <f t="shared" si="8"/>
        <v>0</v>
      </c>
      <c r="M555" s="106"/>
    </row>
    <row r="556" spans="1:13" ht="15.6" x14ac:dyDescent="0.3">
      <c r="A556" s="107"/>
      <c r="B556" s="101"/>
      <c r="C556" s="102"/>
      <c r="D556" s="102"/>
      <c r="E556" s="95"/>
      <c r="H556" s="96"/>
      <c r="I556" s="103"/>
      <c r="J556" s="104"/>
      <c r="K556" s="99">
        <f t="shared" si="8"/>
        <v>0</v>
      </c>
      <c r="M556" s="106"/>
    </row>
    <row r="557" spans="1:13" ht="15.6" x14ac:dyDescent="0.3">
      <c r="A557" s="107"/>
      <c r="B557" s="101"/>
      <c r="C557" s="102"/>
      <c r="D557" s="102"/>
      <c r="E557" s="95"/>
      <c r="H557" s="96"/>
      <c r="I557" s="103"/>
      <c r="J557" s="104"/>
      <c r="K557" s="99">
        <f t="shared" si="8"/>
        <v>0</v>
      </c>
      <c r="M557" s="106"/>
    </row>
    <row r="558" spans="1:13" x14ac:dyDescent="0.3">
      <c r="A558" s="107"/>
      <c r="B558" s="101"/>
      <c r="C558" s="102"/>
      <c r="D558" s="102"/>
      <c r="E558" s="95"/>
      <c r="H558" s="96"/>
      <c r="I558" s="103"/>
      <c r="J558" s="104"/>
      <c r="K558" s="99">
        <f t="shared" si="8"/>
        <v>0</v>
      </c>
      <c r="M558" s="66"/>
    </row>
    <row r="559" spans="1:13" ht="15.6" x14ac:dyDescent="0.3">
      <c r="A559" s="107"/>
      <c r="B559" s="101"/>
      <c r="C559" s="102"/>
      <c r="D559" s="102"/>
      <c r="E559" s="95"/>
      <c r="H559" s="96"/>
      <c r="I559" s="103"/>
      <c r="J559" s="104"/>
      <c r="K559" s="99">
        <f t="shared" si="8"/>
        <v>0</v>
      </c>
      <c r="M559" s="106"/>
    </row>
    <row r="560" spans="1:13" ht="15.6" x14ac:dyDescent="0.3">
      <c r="A560" s="107"/>
      <c r="B560" s="101"/>
      <c r="C560" s="102"/>
      <c r="D560" s="102"/>
      <c r="E560" s="95"/>
      <c r="H560" s="96"/>
      <c r="I560" s="96"/>
      <c r="J560" s="108"/>
      <c r="K560" s="99">
        <f t="shared" si="8"/>
        <v>0</v>
      </c>
      <c r="M560" s="106"/>
    </row>
    <row r="561" spans="1:13" ht="15.6" x14ac:dyDescent="0.3">
      <c r="A561" s="107"/>
      <c r="B561" s="101"/>
      <c r="C561" s="102"/>
      <c r="D561" s="102"/>
      <c r="E561" s="95"/>
      <c r="H561" s="96"/>
      <c r="I561" s="103"/>
      <c r="J561" s="104"/>
      <c r="K561" s="99">
        <f t="shared" si="8"/>
        <v>0</v>
      </c>
      <c r="M561" s="106"/>
    </row>
    <row r="562" spans="1:13" ht="15.6" x14ac:dyDescent="0.3">
      <c r="A562" s="107"/>
      <c r="B562" s="101"/>
      <c r="C562" s="102"/>
      <c r="D562" s="102"/>
      <c r="E562" s="95"/>
      <c r="H562" s="96"/>
      <c r="I562" s="103"/>
      <c r="J562" s="104"/>
      <c r="K562" s="99">
        <f t="shared" si="8"/>
        <v>0</v>
      </c>
      <c r="M562" s="106"/>
    </row>
    <row r="563" spans="1:13" ht="15.6" x14ac:dyDescent="0.3">
      <c r="A563" s="107"/>
      <c r="B563" s="101"/>
      <c r="C563" s="102"/>
      <c r="D563" s="102"/>
      <c r="E563" s="95"/>
      <c r="H563" s="96"/>
      <c r="I563" s="103"/>
      <c r="J563" s="104"/>
      <c r="K563" s="99">
        <f t="shared" si="8"/>
        <v>0</v>
      </c>
      <c r="M563" s="106"/>
    </row>
    <row r="564" spans="1:13" ht="15.6" x14ac:dyDescent="0.3">
      <c r="A564" s="107"/>
      <c r="B564" s="101"/>
      <c r="C564" s="102"/>
      <c r="D564" s="102"/>
      <c r="E564" s="95"/>
      <c r="H564" s="96"/>
      <c r="I564" s="103"/>
      <c r="J564" s="104"/>
      <c r="K564" s="99">
        <f t="shared" si="8"/>
        <v>0</v>
      </c>
      <c r="M564" s="106"/>
    </row>
    <row r="565" spans="1:13" ht="15.6" x14ac:dyDescent="0.3">
      <c r="A565" s="107"/>
      <c r="B565" s="101"/>
      <c r="C565" s="102"/>
      <c r="D565" s="102"/>
      <c r="E565" s="95"/>
      <c r="H565" s="96"/>
      <c r="I565" s="96"/>
      <c r="J565" s="108"/>
      <c r="K565" s="99">
        <f t="shared" si="8"/>
        <v>0</v>
      </c>
      <c r="M565" s="106"/>
    </row>
    <row r="566" spans="1:13" ht="15.6" x14ac:dyDescent="0.3">
      <c r="A566" s="107"/>
      <c r="B566" s="101"/>
      <c r="C566" s="102"/>
      <c r="D566" s="102"/>
      <c r="E566" s="95"/>
      <c r="H566" s="96"/>
      <c r="I566" s="103"/>
      <c r="J566" s="104"/>
      <c r="K566" s="99">
        <f t="shared" si="8"/>
        <v>0</v>
      </c>
      <c r="M566" s="106"/>
    </row>
    <row r="567" spans="1:13" ht="15.6" x14ac:dyDescent="0.3">
      <c r="A567" s="107"/>
      <c r="B567" s="101"/>
      <c r="C567" s="102"/>
      <c r="D567" s="102"/>
      <c r="E567" s="95"/>
      <c r="H567" s="96"/>
      <c r="I567" s="103"/>
      <c r="J567" s="104"/>
      <c r="K567" s="99">
        <f t="shared" si="8"/>
        <v>0</v>
      </c>
      <c r="M567" s="106"/>
    </row>
    <row r="568" spans="1:13" ht="15.6" x14ac:dyDescent="0.3">
      <c r="A568" s="107"/>
      <c r="B568" s="101"/>
      <c r="C568" s="102"/>
      <c r="D568" s="102"/>
      <c r="E568" s="95"/>
      <c r="H568" s="96"/>
      <c r="I568" s="103"/>
      <c r="J568" s="104"/>
      <c r="K568" s="99">
        <f t="shared" si="8"/>
        <v>0</v>
      </c>
      <c r="M568" s="106"/>
    </row>
    <row r="569" spans="1:13" ht="15.6" x14ac:dyDescent="0.3">
      <c r="A569" s="107"/>
      <c r="B569" s="101"/>
      <c r="C569" s="102"/>
      <c r="D569" s="102"/>
      <c r="E569" s="95"/>
      <c r="H569" s="96"/>
      <c r="I569" s="103"/>
      <c r="J569" s="104"/>
      <c r="K569" s="99">
        <f t="shared" si="8"/>
        <v>0</v>
      </c>
      <c r="M569" s="106"/>
    </row>
    <row r="570" spans="1:13" ht="15.6" x14ac:dyDescent="0.3">
      <c r="A570" s="107"/>
      <c r="B570" s="101"/>
      <c r="C570" s="102"/>
      <c r="D570" s="102"/>
      <c r="E570" s="95"/>
      <c r="H570" s="96"/>
      <c r="I570" s="96"/>
      <c r="J570" s="108"/>
      <c r="K570" s="99">
        <f t="shared" si="8"/>
        <v>0</v>
      </c>
      <c r="M570" s="106"/>
    </row>
    <row r="571" spans="1:13" ht="15.6" x14ac:dyDescent="0.3">
      <c r="A571" s="107"/>
      <c r="B571" s="101"/>
      <c r="C571" s="102"/>
      <c r="D571" s="102"/>
      <c r="E571" s="95"/>
      <c r="H571" s="96"/>
      <c r="I571" s="103"/>
      <c r="J571" s="104"/>
      <c r="K571" s="99">
        <f t="shared" si="8"/>
        <v>0</v>
      </c>
      <c r="M571" s="106"/>
    </row>
    <row r="572" spans="1:13" ht="15.6" x14ac:dyDescent="0.3">
      <c r="A572" s="107"/>
      <c r="B572" s="101"/>
      <c r="C572" s="102"/>
      <c r="D572" s="102"/>
      <c r="E572" s="95"/>
      <c r="H572" s="96"/>
      <c r="I572" s="103"/>
      <c r="J572" s="104"/>
      <c r="K572" s="99">
        <f t="shared" si="8"/>
        <v>0</v>
      </c>
      <c r="M572" s="106"/>
    </row>
    <row r="573" spans="1:13" ht="15.6" x14ac:dyDescent="0.3">
      <c r="A573" s="107"/>
      <c r="B573" s="101"/>
      <c r="C573" s="102"/>
      <c r="D573" s="102"/>
      <c r="E573" s="95"/>
      <c r="H573" s="96"/>
      <c r="I573" s="103"/>
      <c r="J573" s="104"/>
      <c r="K573" s="99">
        <f t="shared" si="8"/>
        <v>0</v>
      </c>
      <c r="M573" s="106"/>
    </row>
    <row r="574" spans="1:13" ht="15.6" x14ac:dyDescent="0.3">
      <c r="A574" s="107"/>
      <c r="B574" s="101"/>
      <c r="C574" s="102"/>
      <c r="D574" s="102"/>
      <c r="E574" s="95"/>
      <c r="H574" s="96"/>
      <c r="I574" s="103"/>
      <c r="J574" s="104"/>
      <c r="K574" s="99">
        <f t="shared" si="8"/>
        <v>0</v>
      </c>
      <c r="M574" s="106"/>
    </row>
    <row r="575" spans="1:13" ht="15.6" x14ac:dyDescent="0.3">
      <c r="A575" s="107"/>
      <c r="B575" s="101"/>
      <c r="C575" s="102"/>
      <c r="D575" s="102"/>
      <c r="E575" s="95"/>
      <c r="H575" s="96"/>
      <c r="I575" s="96"/>
      <c r="J575" s="108"/>
      <c r="K575" s="99">
        <f t="shared" si="8"/>
        <v>0</v>
      </c>
      <c r="M575" s="106"/>
    </row>
    <row r="576" spans="1:13" ht="15.6" x14ac:dyDescent="0.3">
      <c r="A576" s="107"/>
      <c r="B576" s="101"/>
      <c r="C576" s="102"/>
      <c r="D576" s="102"/>
      <c r="E576" s="95"/>
      <c r="H576" s="96"/>
      <c r="I576" s="103"/>
      <c r="J576" s="104"/>
      <c r="K576" s="99">
        <f t="shared" si="8"/>
        <v>0</v>
      </c>
      <c r="M576" s="106"/>
    </row>
    <row r="577" spans="1:13" ht="15.6" x14ac:dyDescent="0.3">
      <c r="A577" s="107"/>
      <c r="B577" s="101"/>
      <c r="C577" s="102"/>
      <c r="D577" s="102"/>
      <c r="E577" s="95"/>
      <c r="H577" s="96"/>
      <c r="I577" s="103"/>
      <c r="J577" s="104"/>
      <c r="K577" s="99">
        <f t="shared" si="8"/>
        <v>0</v>
      </c>
      <c r="M577" s="106"/>
    </row>
    <row r="578" spans="1:13" ht="15.6" x14ac:dyDescent="0.3">
      <c r="A578" s="107"/>
      <c r="B578" s="101"/>
      <c r="C578" s="102"/>
      <c r="D578" s="102"/>
      <c r="E578" s="95"/>
      <c r="H578" s="96"/>
      <c r="I578" s="103"/>
      <c r="J578" s="104"/>
      <c r="K578" s="99">
        <f t="shared" si="8"/>
        <v>0</v>
      </c>
      <c r="M578" s="106"/>
    </row>
    <row r="579" spans="1:13" ht="15.6" x14ac:dyDescent="0.3">
      <c r="A579" s="107"/>
      <c r="B579" s="101"/>
      <c r="C579" s="102"/>
      <c r="D579" s="102"/>
      <c r="E579" s="95"/>
      <c r="H579" s="96"/>
      <c r="I579" s="103"/>
      <c r="J579" s="104"/>
      <c r="K579" s="99">
        <f t="shared" si="8"/>
        <v>0</v>
      </c>
      <c r="M579" s="106"/>
    </row>
    <row r="580" spans="1:13" ht="15.6" x14ac:dyDescent="0.3">
      <c r="A580" s="107"/>
      <c r="B580" s="101"/>
      <c r="C580" s="102"/>
      <c r="D580" s="102"/>
      <c r="E580" s="95"/>
      <c r="H580" s="96"/>
      <c r="I580" s="96"/>
      <c r="J580" s="108"/>
      <c r="K580" s="99">
        <f t="shared" si="8"/>
        <v>0</v>
      </c>
      <c r="M580" s="106"/>
    </row>
    <row r="581" spans="1:13" ht="15.6" x14ac:dyDescent="0.3">
      <c r="A581" s="107"/>
      <c r="B581" s="101"/>
      <c r="C581" s="102"/>
      <c r="D581" s="102"/>
      <c r="E581" s="95"/>
      <c r="H581" s="96"/>
      <c r="I581" s="103"/>
      <c r="J581" s="104"/>
      <c r="K581" s="99">
        <f t="shared" ref="K581:K644" si="9">IF(H581 ="x",IF(B581="Fotó", 1,IF(B581 = "2D grafika", 3, IF(B581 = "3D grafika", 8, IF(B581 ="2D animáció", IF(J581&lt;=10, 25, IF(J581&lt;=20, 28, IF(J581&lt;=30, 31, IF(J581&lt;=40, 34, IF(J581&lt;=50, 37, 37 + ROUNDUP((J581-50)/10, 0)*3))))),IF(B581="3D animáció", IF(J581&lt;=10, 40, IF(J581&lt;=20, 48, IF(J581&lt;=30, 56, IF(J581&lt;=40, 64, IF(J581&lt;=50, 72, 72 + ROUNDUP((J581-50)/10, 0)*8))))), IF(B581="Videó egyszereplős", ROUNDUP(J581/10,0)*2, IF(B581 ="Videó egyszereplős narrációval", ROUNDUP(J581/10,0)*3, IF(B581="Videó többszereplős", ROUNDUP(J581/10,0)*2, IF(B581 ="Videó többszereplős narrációval", ROUNDUP(J581/10,0)*4, IF(B581 ="Hangzóanyag", ROUNDUP(J581/10,0)*1, IF(B581="Interaktív animáció (szimuláció)",13,0))))))))))),0)</f>
        <v>0</v>
      </c>
      <c r="M581" s="106"/>
    </row>
    <row r="582" spans="1:13" ht="15.6" x14ac:dyDescent="0.3">
      <c r="A582" s="107"/>
      <c r="B582" s="101"/>
      <c r="C582" s="102"/>
      <c r="D582" s="102"/>
      <c r="E582" s="95"/>
      <c r="H582" s="96"/>
      <c r="I582" s="103"/>
      <c r="J582" s="104"/>
      <c r="K582" s="99">
        <f t="shared" si="9"/>
        <v>0</v>
      </c>
      <c r="M582" s="106"/>
    </row>
    <row r="583" spans="1:13" ht="15.6" x14ac:dyDescent="0.3">
      <c r="A583" s="107"/>
      <c r="B583" s="101"/>
      <c r="C583" s="102"/>
      <c r="D583" s="102"/>
      <c r="E583" s="95"/>
      <c r="H583" s="96"/>
      <c r="I583" s="103"/>
      <c r="J583" s="104"/>
      <c r="K583" s="99">
        <f t="shared" si="9"/>
        <v>0</v>
      </c>
      <c r="M583" s="106"/>
    </row>
    <row r="584" spans="1:13" ht="15.6" x14ac:dyDescent="0.3">
      <c r="A584" s="107"/>
      <c r="B584" s="101"/>
      <c r="C584" s="102"/>
      <c r="D584" s="102"/>
      <c r="E584" s="95"/>
      <c r="H584" s="96"/>
      <c r="I584" s="103"/>
      <c r="J584" s="104"/>
      <c r="K584" s="99">
        <f t="shared" si="9"/>
        <v>0</v>
      </c>
      <c r="M584" s="106"/>
    </row>
    <row r="585" spans="1:13" ht="15.6" x14ac:dyDescent="0.3">
      <c r="A585" s="107"/>
      <c r="B585" s="101"/>
      <c r="C585" s="102"/>
      <c r="D585" s="102"/>
      <c r="E585" s="95"/>
      <c r="H585" s="96"/>
      <c r="I585" s="96"/>
      <c r="J585" s="108"/>
      <c r="K585" s="99">
        <f t="shared" si="9"/>
        <v>0</v>
      </c>
      <c r="M585" s="106"/>
    </row>
    <row r="586" spans="1:13" ht="15.6" x14ac:dyDescent="0.3">
      <c r="A586" s="107"/>
      <c r="B586" s="101"/>
      <c r="C586" s="102"/>
      <c r="D586" s="102"/>
      <c r="E586" s="95"/>
      <c r="H586" s="96"/>
      <c r="I586" s="103"/>
      <c r="J586" s="104"/>
      <c r="K586" s="99">
        <f t="shared" si="9"/>
        <v>0</v>
      </c>
      <c r="M586" s="106"/>
    </row>
    <row r="587" spans="1:13" ht="15.6" x14ac:dyDescent="0.3">
      <c r="A587" s="107"/>
      <c r="B587" s="101"/>
      <c r="C587" s="102"/>
      <c r="D587" s="102"/>
      <c r="E587" s="95"/>
      <c r="H587" s="96"/>
      <c r="I587" s="103"/>
      <c r="J587" s="104"/>
      <c r="K587" s="99">
        <f t="shared" si="9"/>
        <v>0</v>
      </c>
      <c r="M587" s="106"/>
    </row>
    <row r="588" spans="1:13" ht="15.6" x14ac:dyDescent="0.3">
      <c r="A588" s="107"/>
      <c r="B588" s="101"/>
      <c r="C588" s="102"/>
      <c r="D588" s="102"/>
      <c r="E588" s="95"/>
      <c r="H588" s="96"/>
      <c r="I588" s="103"/>
      <c r="J588" s="104"/>
      <c r="K588" s="99">
        <f t="shared" si="9"/>
        <v>0</v>
      </c>
      <c r="M588" s="106"/>
    </row>
    <row r="589" spans="1:13" ht="15.6" x14ac:dyDescent="0.3">
      <c r="A589" s="107"/>
      <c r="B589" s="101"/>
      <c r="C589" s="102"/>
      <c r="D589" s="102"/>
      <c r="E589" s="95"/>
      <c r="H589" s="96"/>
      <c r="I589" s="103"/>
      <c r="J589" s="104"/>
      <c r="K589" s="99">
        <f t="shared" si="9"/>
        <v>0</v>
      </c>
      <c r="M589" s="106"/>
    </row>
    <row r="590" spans="1:13" ht="15.6" x14ac:dyDescent="0.3">
      <c r="A590" s="107"/>
      <c r="B590" s="101"/>
      <c r="C590" s="102"/>
      <c r="D590" s="102"/>
      <c r="E590" s="95"/>
      <c r="H590" s="96"/>
      <c r="I590" s="96"/>
      <c r="J590" s="108"/>
      <c r="K590" s="99">
        <f t="shared" si="9"/>
        <v>0</v>
      </c>
      <c r="M590" s="106"/>
    </row>
    <row r="591" spans="1:13" ht="15.6" x14ac:dyDescent="0.3">
      <c r="A591" s="107"/>
      <c r="B591" s="101"/>
      <c r="C591" s="102"/>
      <c r="D591" s="102"/>
      <c r="E591" s="95"/>
      <c r="H591" s="96"/>
      <c r="I591" s="103"/>
      <c r="J591" s="104"/>
      <c r="K591" s="99">
        <f t="shared" si="9"/>
        <v>0</v>
      </c>
      <c r="M591" s="106"/>
    </row>
    <row r="592" spans="1:13" ht="15.6" x14ac:dyDescent="0.3">
      <c r="A592" s="107"/>
      <c r="B592" s="101"/>
      <c r="C592" s="102"/>
      <c r="D592" s="102"/>
      <c r="E592" s="95"/>
      <c r="H592" s="96"/>
      <c r="I592" s="103"/>
      <c r="J592" s="104"/>
      <c r="K592" s="99">
        <f t="shared" si="9"/>
        <v>0</v>
      </c>
      <c r="M592" s="106"/>
    </row>
    <row r="593" spans="1:13" ht="15.6" x14ac:dyDescent="0.3">
      <c r="A593" s="107"/>
      <c r="B593" s="101"/>
      <c r="C593" s="102"/>
      <c r="D593" s="102"/>
      <c r="E593" s="95"/>
      <c r="H593" s="96"/>
      <c r="I593" s="103"/>
      <c r="J593" s="104"/>
      <c r="K593" s="99">
        <f t="shared" si="9"/>
        <v>0</v>
      </c>
      <c r="M593" s="106"/>
    </row>
    <row r="594" spans="1:13" ht="15.6" x14ac:dyDescent="0.3">
      <c r="A594" s="107"/>
      <c r="B594" s="101"/>
      <c r="C594" s="102"/>
      <c r="D594" s="102"/>
      <c r="E594" s="95"/>
      <c r="H594" s="96"/>
      <c r="I594" s="103"/>
      <c r="J594" s="104"/>
      <c r="K594" s="99">
        <f t="shared" si="9"/>
        <v>0</v>
      </c>
      <c r="M594" s="106"/>
    </row>
    <row r="595" spans="1:13" ht="15.6" x14ac:dyDescent="0.3">
      <c r="A595" s="100"/>
      <c r="B595" s="101"/>
      <c r="C595" s="102"/>
      <c r="D595" s="102"/>
      <c r="E595" s="95"/>
      <c r="H595" s="96"/>
      <c r="I595" s="103"/>
      <c r="J595" s="104"/>
      <c r="K595" s="99">
        <f t="shared" si="9"/>
        <v>0</v>
      </c>
      <c r="M595" s="106"/>
    </row>
    <row r="596" spans="1:13" ht="15.6" x14ac:dyDescent="0.3">
      <c r="A596" s="100"/>
      <c r="B596" s="101"/>
      <c r="C596" s="102"/>
      <c r="D596" s="102"/>
      <c r="E596" s="95"/>
      <c r="H596" s="96"/>
      <c r="I596" s="103"/>
      <c r="J596" s="104"/>
      <c r="K596" s="99">
        <f t="shared" si="9"/>
        <v>0</v>
      </c>
      <c r="M596" s="106"/>
    </row>
    <row r="597" spans="1:13" ht="15.6" x14ac:dyDescent="0.3">
      <c r="A597" s="100"/>
      <c r="B597" s="101"/>
      <c r="C597" s="102"/>
      <c r="D597" s="102"/>
      <c r="E597" s="95"/>
      <c r="H597" s="96"/>
      <c r="I597" s="103"/>
      <c r="J597" s="104"/>
      <c r="K597" s="99">
        <f t="shared" si="9"/>
        <v>0</v>
      </c>
      <c r="M597" s="106"/>
    </row>
    <row r="598" spans="1:13" ht="15.6" x14ac:dyDescent="0.3">
      <c r="A598" s="100"/>
      <c r="B598" s="101"/>
      <c r="C598" s="102"/>
      <c r="D598" s="102"/>
      <c r="E598" s="95"/>
      <c r="H598" s="96"/>
      <c r="I598" s="103"/>
      <c r="J598" s="104"/>
      <c r="K598" s="99">
        <f t="shared" si="9"/>
        <v>0</v>
      </c>
      <c r="M598" s="106"/>
    </row>
    <row r="599" spans="1:13" ht="15.6" x14ac:dyDescent="0.3">
      <c r="A599" s="107"/>
      <c r="B599" s="101"/>
      <c r="C599" s="102"/>
      <c r="D599" s="102"/>
      <c r="E599" s="95"/>
      <c r="H599" s="96"/>
      <c r="I599" s="96"/>
      <c r="J599" s="108"/>
      <c r="K599" s="99">
        <f t="shared" si="9"/>
        <v>0</v>
      </c>
      <c r="M599" s="106"/>
    </row>
    <row r="600" spans="1:13" ht="15.6" x14ac:dyDescent="0.3">
      <c r="A600" s="107"/>
      <c r="B600" s="101"/>
      <c r="C600" s="102"/>
      <c r="D600" s="102"/>
      <c r="E600" s="95"/>
      <c r="H600" s="96"/>
      <c r="I600" s="103"/>
      <c r="J600" s="104"/>
      <c r="K600" s="99">
        <f t="shared" si="9"/>
        <v>0</v>
      </c>
      <c r="M600" s="106"/>
    </row>
    <row r="601" spans="1:13" ht="15.6" x14ac:dyDescent="0.3">
      <c r="A601" s="107"/>
      <c r="B601" s="101"/>
      <c r="C601" s="102"/>
      <c r="D601" s="102"/>
      <c r="E601" s="95"/>
      <c r="H601" s="96"/>
      <c r="I601" s="103"/>
      <c r="J601" s="104"/>
      <c r="K601" s="99">
        <f t="shared" si="9"/>
        <v>0</v>
      </c>
      <c r="M601" s="106"/>
    </row>
    <row r="602" spans="1:13" ht="15.6" x14ac:dyDescent="0.3">
      <c r="A602" s="107"/>
      <c r="B602" s="101"/>
      <c r="C602" s="102"/>
      <c r="D602" s="102"/>
      <c r="E602" s="95"/>
      <c r="H602" s="96"/>
      <c r="I602" s="103"/>
      <c r="J602" s="104"/>
      <c r="K602" s="99">
        <f t="shared" si="9"/>
        <v>0</v>
      </c>
      <c r="M602" s="106"/>
    </row>
    <row r="603" spans="1:13" ht="15.6" x14ac:dyDescent="0.3">
      <c r="A603" s="107"/>
      <c r="B603" s="101"/>
      <c r="C603" s="102"/>
      <c r="D603" s="102"/>
      <c r="E603" s="95"/>
      <c r="H603" s="96"/>
      <c r="I603" s="103"/>
      <c r="J603" s="104"/>
      <c r="K603" s="99">
        <f t="shared" si="9"/>
        <v>0</v>
      </c>
      <c r="M603" s="106"/>
    </row>
    <row r="604" spans="1:13" ht="15.6" x14ac:dyDescent="0.3">
      <c r="A604" s="107"/>
      <c r="B604" s="101"/>
      <c r="C604" s="102"/>
      <c r="D604" s="102"/>
      <c r="E604" s="95"/>
      <c r="H604" s="96"/>
      <c r="I604" s="96"/>
      <c r="J604" s="108"/>
      <c r="K604" s="99">
        <f t="shared" si="9"/>
        <v>0</v>
      </c>
      <c r="M604" s="106"/>
    </row>
    <row r="605" spans="1:13" ht="15.6" x14ac:dyDescent="0.3">
      <c r="A605" s="107"/>
      <c r="B605" s="101"/>
      <c r="C605" s="102"/>
      <c r="D605" s="102"/>
      <c r="E605" s="95"/>
      <c r="H605" s="96"/>
      <c r="I605" s="103"/>
      <c r="J605" s="104"/>
      <c r="K605" s="99">
        <f t="shared" si="9"/>
        <v>0</v>
      </c>
      <c r="M605" s="106"/>
    </row>
    <row r="606" spans="1:13" ht="15.6" x14ac:dyDescent="0.3">
      <c r="A606" s="107"/>
      <c r="B606" s="101"/>
      <c r="C606" s="102"/>
      <c r="D606" s="102"/>
      <c r="E606" s="95"/>
      <c r="H606" s="96"/>
      <c r="I606" s="103"/>
      <c r="J606" s="104"/>
      <c r="K606" s="99">
        <f t="shared" si="9"/>
        <v>0</v>
      </c>
      <c r="M606" s="106"/>
    </row>
    <row r="607" spans="1:13" ht="15.6" x14ac:dyDescent="0.3">
      <c r="A607" s="107"/>
      <c r="B607" s="101"/>
      <c r="C607" s="102"/>
      <c r="D607" s="102"/>
      <c r="E607" s="95"/>
      <c r="H607" s="96"/>
      <c r="I607" s="103"/>
      <c r="J607" s="104"/>
      <c r="K607" s="99">
        <f t="shared" si="9"/>
        <v>0</v>
      </c>
      <c r="M607" s="106"/>
    </row>
    <row r="608" spans="1:13" ht="15.6" x14ac:dyDescent="0.3">
      <c r="A608" s="107"/>
      <c r="B608" s="101"/>
      <c r="C608" s="102"/>
      <c r="D608" s="102"/>
      <c r="E608" s="95"/>
      <c r="H608" s="96"/>
      <c r="I608" s="103"/>
      <c r="J608" s="104"/>
      <c r="K608" s="99">
        <f t="shared" si="9"/>
        <v>0</v>
      </c>
      <c r="M608" s="106"/>
    </row>
    <row r="609" spans="1:13" ht="15.6" x14ac:dyDescent="0.3">
      <c r="A609" s="107"/>
      <c r="B609" s="101"/>
      <c r="C609" s="102"/>
      <c r="D609" s="102"/>
      <c r="E609" s="95"/>
      <c r="H609" s="96"/>
      <c r="I609" s="96"/>
      <c r="J609" s="108"/>
      <c r="K609" s="99">
        <f t="shared" si="9"/>
        <v>0</v>
      </c>
      <c r="M609" s="106"/>
    </row>
    <row r="610" spans="1:13" ht="15.6" x14ac:dyDescent="0.3">
      <c r="A610" s="107"/>
      <c r="B610" s="101"/>
      <c r="C610" s="102"/>
      <c r="D610" s="102"/>
      <c r="E610" s="95"/>
      <c r="H610" s="96"/>
      <c r="I610" s="103"/>
      <c r="J610" s="104"/>
      <c r="K610" s="99">
        <f t="shared" si="9"/>
        <v>0</v>
      </c>
      <c r="M610" s="106"/>
    </row>
    <row r="611" spans="1:13" ht="15.6" x14ac:dyDescent="0.3">
      <c r="A611" s="107"/>
      <c r="B611" s="101"/>
      <c r="C611" s="102"/>
      <c r="D611" s="102"/>
      <c r="E611" s="95"/>
      <c r="H611" s="96"/>
      <c r="I611" s="103"/>
      <c r="J611" s="104"/>
      <c r="K611" s="99">
        <f t="shared" si="9"/>
        <v>0</v>
      </c>
      <c r="M611" s="106"/>
    </row>
    <row r="612" spans="1:13" ht="15.6" x14ac:dyDescent="0.3">
      <c r="A612" s="107"/>
      <c r="B612" s="101"/>
      <c r="C612" s="102"/>
      <c r="D612" s="102"/>
      <c r="E612" s="95"/>
      <c r="H612" s="96"/>
      <c r="I612" s="103"/>
      <c r="J612" s="104"/>
      <c r="K612" s="99">
        <f t="shared" si="9"/>
        <v>0</v>
      </c>
      <c r="M612" s="106"/>
    </row>
    <row r="613" spans="1:13" ht="15.6" x14ac:dyDescent="0.3">
      <c r="A613" s="107"/>
      <c r="B613" s="101"/>
      <c r="C613" s="102"/>
      <c r="D613" s="102"/>
      <c r="E613" s="95"/>
      <c r="H613" s="96"/>
      <c r="I613" s="103"/>
      <c r="J613" s="104"/>
      <c r="K613" s="99">
        <f t="shared" si="9"/>
        <v>0</v>
      </c>
      <c r="M613" s="106"/>
    </row>
    <row r="614" spans="1:13" ht="15.6" x14ac:dyDescent="0.3">
      <c r="A614" s="107"/>
      <c r="B614" s="101"/>
      <c r="C614" s="102"/>
      <c r="D614" s="102"/>
      <c r="E614" s="95"/>
      <c r="H614" s="96"/>
      <c r="I614" s="96"/>
      <c r="J614" s="108"/>
      <c r="K614" s="99">
        <f t="shared" si="9"/>
        <v>0</v>
      </c>
      <c r="M614" s="106"/>
    </row>
    <row r="615" spans="1:13" ht="15.6" x14ac:dyDescent="0.3">
      <c r="A615" s="107"/>
      <c r="B615" s="101"/>
      <c r="C615" s="102"/>
      <c r="D615" s="102"/>
      <c r="E615" s="95"/>
      <c r="H615" s="96"/>
      <c r="I615" s="103"/>
      <c r="J615" s="104"/>
      <c r="K615" s="99">
        <f t="shared" si="9"/>
        <v>0</v>
      </c>
      <c r="M615" s="106"/>
    </row>
    <row r="616" spans="1:13" ht="15.6" x14ac:dyDescent="0.3">
      <c r="A616" s="107"/>
      <c r="B616" s="101"/>
      <c r="C616" s="102"/>
      <c r="D616" s="102"/>
      <c r="E616" s="95"/>
      <c r="H616" s="96"/>
      <c r="I616" s="103"/>
      <c r="J616" s="104"/>
      <c r="K616" s="99">
        <f t="shared" si="9"/>
        <v>0</v>
      </c>
      <c r="M616" s="106"/>
    </row>
    <row r="617" spans="1:13" x14ac:dyDescent="0.3">
      <c r="A617" s="107"/>
      <c r="B617" s="101"/>
      <c r="C617" s="102"/>
      <c r="D617" s="102"/>
      <c r="E617" s="95"/>
      <c r="H617" s="96"/>
      <c r="I617" s="103"/>
      <c r="J617" s="104"/>
      <c r="K617" s="99">
        <f t="shared" si="9"/>
        <v>0</v>
      </c>
      <c r="M617" s="66"/>
    </row>
    <row r="618" spans="1:13" ht="15.6" x14ac:dyDescent="0.3">
      <c r="A618" s="107"/>
      <c r="B618" s="101"/>
      <c r="C618" s="102"/>
      <c r="D618" s="102"/>
      <c r="E618" s="95"/>
      <c r="H618" s="96"/>
      <c r="I618" s="103"/>
      <c r="J618" s="104"/>
      <c r="K618" s="99">
        <f t="shared" si="9"/>
        <v>0</v>
      </c>
      <c r="M618" s="106"/>
    </row>
    <row r="619" spans="1:13" ht="15.6" x14ac:dyDescent="0.3">
      <c r="A619" s="107"/>
      <c r="B619" s="101"/>
      <c r="C619" s="102"/>
      <c r="D619" s="102"/>
      <c r="E619" s="95"/>
      <c r="H619" s="96"/>
      <c r="I619" s="96"/>
      <c r="J619" s="108"/>
      <c r="K619" s="99">
        <f t="shared" si="9"/>
        <v>0</v>
      </c>
      <c r="M619" s="106"/>
    </row>
    <row r="620" spans="1:13" ht="15.6" x14ac:dyDescent="0.3">
      <c r="A620" s="107"/>
      <c r="B620" s="101"/>
      <c r="C620" s="102"/>
      <c r="D620" s="102"/>
      <c r="E620" s="95"/>
      <c r="H620" s="96"/>
      <c r="I620" s="103"/>
      <c r="J620" s="104"/>
      <c r="K620" s="99">
        <f t="shared" si="9"/>
        <v>0</v>
      </c>
      <c r="M620" s="106"/>
    </row>
    <row r="621" spans="1:13" ht="15.6" x14ac:dyDescent="0.3">
      <c r="A621" s="107"/>
      <c r="B621" s="101"/>
      <c r="C621" s="102"/>
      <c r="D621" s="102"/>
      <c r="E621" s="95"/>
      <c r="H621" s="96"/>
      <c r="I621" s="103"/>
      <c r="J621" s="104"/>
      <c r="K621" s="99">
        <f t="shared" si="9"/>
        <v>0</v>
      </c>
      <c r="M621" s="106"/>
    </row>
    <row r="622" spans="1:13" ht="15.6" x14ac:dyDescent="0.3">
      <c r="A622" s="107"/>
      <c r="B622" s="101"/>
      <c r="C622" s="102"/>
      <c r="D622" s="102"/>
      <c r="E622" s="95"/>
      <c r="H622" s="96"/>
      <c r="I622" s="103"/>
      <c r="J622" s="104"/>
      <c r="K622" s="99">
        <f t="shared" si="9"/>
        <v>0</v>
      </c>
      <c r="M622" s="106"/>
    </row>
    <row r="623" spans="1:13" ht="15.6" x14ac:dyDescent="0.3">
      <c r="A623" s="107"/>
      <c r="B623" s="101"/>
      <c r="C623" s="102"/>
      <c r="D623" s="102"/>
      <c r="E623" s="95"/>
      <c r="H623" s="96"/>
      <c r="I623" s="103"/>
      <c r="J623" s="104"/>
      <c r="K623" s="99">
        <f t="shared" si="9"/>
        <v>0</v>
      </c>
      <c r="M623" s="106"/>
    </row>
    <row r="624" spans="1:13" ht="15.6" x14ac:dyDescent="0.3">
      <c r="A624" s="107"/>
      <c r="B624" s="101"/>
      <c r="C624" s="102"/>
      <c r="D624" s="102"/>
      <c r="E624" s="95"/>
      <c r="H624" s="96"/>
      <c r="I624" s="96"/>
      <c r="J624" s="108"/>
      <c r="K624" s="99">
        <f t="shared" si="9"/>
        <v>0</v>
      </c>
      <c r="M624" s="106"/>
    </row>
    <row r="625" spans="1:13" ht="15.6" x14ac:dyDescent="0.3">
      <c r="A625" s="107"/>
      <c r="B625" s="101"/>
      <c r="C625" s="102"/>
      <c r="D625" s="102"/>
      <c r="E625" s="95"/>
      <c r="H625" s="96"/>
      <c r="I625" s="103"/>
      <c r="J625" s="104"/>
      <c r="K625" s="99">
        <f t="shared" si="9"/>
        <v>0</v>
      </c>
      <c r="M625" s="106"/>
    </row>
    <row r="626" spans="1:13" ht="15.6" x14ac:dyDescent="0.3">
      <c r="A626" s="107"/>
      <c r="B626" s="101"/>
      <c r="C626" s="102"/>
      <c r="D626" s="102"/>
      <c r="E626" s="95"/>
      <c r="H626" s="96"/>
      <c r="I626" s="103"/>
      <c r="J626" s="104"/>
      <c r="K626" s="99">
        <f t="shared" si="9"/>
        <v>0</v>
      </c>
      <c r="M626" s="106"/>
    </row>
    <row r="627" spans="1:13" ht="15.6" x14ac:dyDescent="0.3">
      <c r="A627" s="107"/>
      <c r="B627" s="101"/>
      <c r="C627" s="102"/>
      <c r="D627" s="102"/>
      <c r="E627" s="95"/>
      <c r="H627" s="96"/>
      <c r="I627" s="103"/>
      <c r="J627" s="104"/>
      <c r="K627" s="99">
        <f t="shared" si="9"/>
        <v>0</v>
      </c>
      <c r="M627" s="106"/>
    </row>
    <row r="628" spans="1:13" ht="15.6" x14ac:dyDescent="0.3">
      <c r="A628" s="107"/>
      <c r="B628" s="101"/>
      <c r="C628" s="102"/>
      <c r="D628" s="102"/>
      <c r="E628" s="95"/>
      <c r="H628" s="96"/>
      <c r="I628" s="103"/>
      <c r="J628" s="104"/>
      <c r="K628" s="99">
        <f t="shared" si="9"/>
        <v>0</v>
      </c>
      <c r="M628" s="106"/>
    </row>
    <row r="629" spans="1:13" ht="15.6" x14ac:dyDescent="0.3">
      <c r="A629" s="107"/>
      <c r="B629" s="101"/>
      <c r="C629" s="102"/>
      <c r="D629" s="102"/>
      <c r="E629" s="95"/>
      <c r="H629" s="96"/>
      <c r="I629" s="96"/>
      <c r="J629" s="108"/>
      <c r="K629" s="99">
        <f t="shared" si="9"/>
        <v>0</v>
      </c>
      <c r="M629" s="106"/>
    </row>
    <row r="630" spans="1:13" ht="15.6" x14ac:dyDescent="0.3">
      <c r="A630" s="107"/>
      <c r="B630" s="101"/>
      <c r="C630" s="102"/>
      <c r="D630" s="102"/>
      <c r="E630" s="95"/>
      <c r="H630" s="96"/>
      <c r="I630" s="103"/>
      <c r="J630" s="104"/>
      <c r="K630" s="99">
        <f t="shared" si="9"/>
        <v>0</v>
      </c>
      <c r="M630" s="106"/>
    </row>
    <row r="631" spans="1:13" ht="15.6" x14ac:dyDescent="0.3">
      <c r="A631" s="107"/>
      <c r="B631" s="101"/>
      <c r="C631" s="102"/>
      <c r="D631" s="102"/>
      <c r="E631" s="95"/>
      <c r="H631" s="96"/>
      <c r="I631" s="103"/>
      <c r="J631" s="104"/>
      <c r="K631" s="99">
        <f t="shared" si="9"/>
        <v>0</v>
      </c>
      <c r="M631" s="106"/>
    </row>
    <row r="632" spans="1:13" ht="15.6" x14ac:dyDescent="0.3">
      <c r="A632" s="107"/>
      <c r="B632" s="101"/>
      <c r="C632" s="102"/>
      <c r="D632" s="102"/>
      <c r="E632" s="95"/>
      <c r="H632" s="96"/>
      <c r="I632" s="103"/>
      <c r="J632" s="104"/>
      <c r="K632" s="99">
        <f t="shared" si="9"/>
        <v>0</v>
      </c>
      <c r="M632" s="106"/>
    </row>
    <row r="633" spans="1:13" ht="15.6" x14ac:dyDescent="0.3">
      <c r="A633" s="107"/>
      <c r="B633" s="101"/>
      <c r="C633" s="102"/>
      <c r="D633" s="102"/>
      <c r="E633" s="95"/>
      <c r="H633" s="96"/>
      <c r="I633" s="103"/>
      <c r="J633" s="104"/>
      <c r="K633" s="99">
        <f t="shared" si="9"/>
        <v>0</v>
      </c>
      <c r="M633" s="106"/>
    </row>
    <row r="634" spans="1:13" ht="15.6" x14ac:dyDescent="0.3">
      <c r="A634" s="107"/>
      <c r="B634" s="101"/>
      <c r="C634" s="102"/>
      <c r="D634" s="102"/>
      <c r="E634" s="95"/>
      <c r="H634" s="96"/>
      <c r="I634" s="96"/>
      <c r="J634" s="108"/>
      <c r="K634" s="99">
        <f t="shared" si="9"/>
        <v>0</v>
      </c>
      <c r="M634" s="106"/>
    </row>
    <row r="635" spans="1:13" ht="15.6" x14ac:dyDescent="0.3">
      <c r="A635" s="107"/>
      <c r="B635" s="101"/>
      <c r="C635" s="102"/>
      <c r="D635" s="102"/>
      <c r="E635" s="95"/>
      <c r="H635" s="96"/>
      <c r="I635" s="103"/>
      <c r="J635" s="104"/>
      <c r="K635" s="99">
        <f t="shared" si="9"/>
        <v>0</v>
      </c>
      <c r="M635" s="106"/>
    </row>
    <row r="636" spans="1:13" ht="15.6" x14ac:dyDescent="0.3">
      <c r="A636" s="107"/>
      <c r="B636" s="101"/>
      <c r="C636" s="102"/>
      <c r="D636" s="102"/>
      <c r="E636" s="95"/>
      <c r="H636" s="96"/>
      <c r="I636" s="103"/>
      <c r="J636" s="104"/>
      <c r="K636" s="99">
        <f t="shared" si="9"/>
        <v>0</v>
      </c>
      <c r="M636" s="106"/>
    </row>
    <row r="637" spans="1:13" ht="15.6" x14ac:dyDescent="0.3">
      <c r="A637" s="107"/>
      <c r="B637" s="101"/>
      <c r="C637" s="102"/>
      <c r="D637" s="102"/>
      <c r="E637" s="95"/>
      <c r="H637" s="96"/>
      <c r="I637" s="103"/>
      <c r="J637" s="104"/>
      <c r="K637" s="99">
        <f t="shared" si="9"/>
        <v>0</v>
      </c>
      <c r="M637" s="106"/>
    </row>
    <row r="638" spans="1:13" ht="15.6" x14ac:dyDescent="0.3">
      <c r="A638" s="107"/>
      <c r="B638" s="101"/>
      <c r="C638" s="102"/>
      <c r="D638" s="102"/>
      <c r="E638" s="95"/>
      <c r="H638" s="96"/>
      <c r="I638" s="103"/>
      <c r="J638" s="104"/>
      <c r="K638" s="99">
        <f t="shared" si="9"/>
        <v>0</v>
      </c>
      <c r="M638" s="106"/>
    </row>
    <row r="639" spans="1:13" ht="15.6" x14ac:dyDescent="0.3">
      <c r="A639" s="107"/>
      <c r="B639" s="101"/>
      <c r="C639" s="102"/>
      <c r="D639" s="102"/>
      <c r="E639" s="95"/>
      <c r="H639" s="96"/>
      <c r="I639" s="96"/>
      <c r="J639" s="108"/>
      <c r="K639" s="99">
        <f t="shared" si="9"/>
        <v>0</v>
      </c>
      <c r="M639" s="106"/>
    </row>
    <row r="640" spans="1:13" ht="15.6" x14ac:dyDescent="0.3">
      <c r="A640" s="107"/>
      <c r="B640" s="101"/>
      <c r="C640" s="102"/>
      <c r="D640" s="102"/>
      <c r="E640" s="95"/>
      <c r="H640" s="96"/>
      <c r="I640" s="103"/>
      <c r="J640" s="104"/>
      <c r="K640" s="99">
        <f t="shared" si="9"/>
        <v>0</v>
      </c>
      <c r="M640" s="106"/>
    </row>
    <row r="641" spans="1:13" ht="15.6" x14ac:dyDescent="0.3">
      <c r="A641" s="107"/>
      <c r="B641" s="101"/>
      <c r="C641" s="102"/>
      <c r="D641" s="102"/>
      <c r="E641" s="95"/>
      <c r="H641" s="96"/>
      <c r="I641" s="103"/>
      <c r="J641" s="104"/>
      <c r="K641" s="99">
        <f t="shared" si="9"/>
        <v>0</v>
      </c>
      <c r="M641" s="106"/>
    </row>
    <row r="642" spans="1:13" ht="15.6" x14ac:dyDescent="0.3">
      <c r="A642" s="107"/>
      <c r="B642" s="101"/>
      <c r="C642" s="102"/>
      <c r="D642" s="102"/>
      <c r="E642" s="95"/>
      <c r="H642" s="96"/>
      <c r="I642" s="103"/>
      <c r="J642" s="104"/>
      <c r="K642" s="99">
        <f t="shared" si="9"/>
        <v>0</v>
      </c>
      <c r="M642" s="106"/>
    </row>
    <row r="643" spans="1:13" ht="15.6" x14ac:dyDescent="0.3">
      <c r="A643" s="107"/>
      <c r="B643" s="101"/>
      <c r="C643" s="102"/>
      <c r="D643" s="102"/>
      <c r="E643" s="95"/>
      <c r="H643" s="96"/>
      <c r="I643" s="103"/>
      <c r="J643" s="104"/>
      <c r="K643" s="99">
        <f t="shared" si="9"/>
        <v>0</v>
      </c>
      <c r="M643" s="106"/>
    </row>
    <row r="644" spans="1:13" ht="15.6" x14ac:dyDescent="0.3">
      <c r="A644" s="107"/>
      <c r="B644" s="101"/>
      <c r="C644" s="102"/>
      <c r="D644" s="102"/>
      <c r="E644" s="95"/>
      <c r="H644" s="96"/>
      <c r="I644" s="96"/>
      <c r="J644" s="108"/>
      <c r="K644" s="99">
        <f t="shared" si="9"/>
        <v>0</v>
      </c>
      <c r="M644" s="106"/>
    </row>
    <row r="645" spans="1:13" ht="15.6" x14ac:dyDescent="0.3">
      <c r="A645" s="107"/>
      <c r="B645" s="101"/>
      <c r="C645" s="102"/>
      <c r="D645" s="102"/>
      <c r="E645" s="95"/>
      <c r="H645" s="96"/>
      <c r="I645" s="103"/>
      <c r="J645" s="104"/>
      <c r="K645" s="99">
        <f t="shared" ref="K645:K708" si="10">IF(H645 ="x",IF(B645="Fotó", 1,IF(B645 = "2D grafika", 3, IF(B645 = "3D grafika", 8, IF(B645 ="2D animáció", IF(J645&lt;=10, 25, IF(J645&lt;=20, 28, IF(J645&lt;=30, 31, IF(J645&lt;=40, 34, IF(J645&lt;=50, 37, 37 + ROUNDUP((J645-50)/10, 0)*3))))),IF(B645="3D animáció", IF(J645&lt;=10, 40, IF(J645&lt;=20, 48, IF(J645&lt;=30, 56, IF(J645&lt;=40, 64, IF(J645&lt;=50, 72, 72 + ROUNDUP((J645-50)/10, 0)*8))))), IF(B645="Videó egyszereplős", ROUNDUP(J645/10,0)*2, IF(B645 ="Videó egyszereplős narrációval", ROUNDUP(J645/10,0)*3, IF(B645="Videó többszereplős", ROUNDUP(J645/10,0)*2, IF(B645 ="Videó többszereplős narrációval", ROUNDUP(J645/10,0)*4, IF(B645 ="Hangzóanyag", ROUNDUP(J645/10,0)*1, IF(B645="Interaktív animáció (szimuláció)",13,0))))))))))),0)</f>
        <v>0</v>
      </c>
      <c r="M645" s="106"/>
    </row>
    <row r="646" spans="1:13" ht="15.6" x14ac:dyDescent="0.3">
      <c r="A646" s="107"/>
      <c r="B646" s="101"/>
      <c r="C646" s="102"/>
      <c r="D646" s="102"/>
      <c r="E646" s="95"/>
      <c r="H646" s="96"/>
      <c r="I646" s="103"/>
      <c r="J646" s="104"/>
      <c r="K646" s="99">
        <f t="shared" si="10"/>
        <v>0</v>
      </c>
      <c r="M646" s="106"/>
    </row>
    <row r="647" spans="1:13" ht="15.6" x14ac:dyDescent="0.3">
      <c r="A647" s="107"/>
      <c r="B647" s="101"/>
      <c r="C647" s="102"/>
      <c r="D647" s="102"/>
      <c r="E647" s="95"/>
      <c r="H647" s="96"/>
      <c r="I647" s="103"/>
      <c r="J647" s="104"/>
      <c r="K647" s="99">
        <f t="shared" si="10"/>
        <v>0</v>
      </c>
      <c r="M647" s="106"/>
    </row>
    <row r="648" spans="1:13" ht="15.6" x14ac:dyDescent="0.3">
      <c r="A648" s="107"/>
      <c r="B648" s="101"/>
      <c r="C648" s="102"/>
      <c r="D648" s="102"/>
      <c r="E648" s="95"/>
      <c r="H648" s="96"/>
      <c r="I648" s="103"/>
      <c r="J648" s="104"/>
      <c r="K648" s="99">
        <f t="shared" si="10"/>
        <v>0</v>
      </c>
      <c r="M648" s="106"/>
    </row>
    <row r="649" spans="1:13" ht="15.6" x14ac:dyDescent="0.3">
      <c r="A649" s="107"/>
      <c r="B649" s="101"/>
      <c r="C649" s="102"/>
      <c r="D649" s="102"/>
      <c r="E649" s="95"/>
      <c r="H649" s="96"/>
      <c r="I649" s="96"/>
      <c r="J649" s="108"/>
      <c r="K649" s="99">
        <f t="shared" si="10"/>
        <v>0</v>
      </c>
      <c r="M649" s="106"/>
    </row>
    <row r="650" spans="1:13" ht="15.6" x14ac:dyDescent="0.3">
      <c r="A650" s="107"/>
      <c r="B650" s="101"/>
      <c r="C650" s="102"/>
      <c r="D650" s="102"/>
      <c r="E650" s="95"/>
      <c r="H650" s="96"/>
      <c r="I650" s="103"/>
      <c r="J650" s="104"/>
      <c r="K650" s="99">
        <f t="shared" si="10"/>
        <v>0</v>
      </c>
      <c r="M650" s="106"/>
    </row>
    <row r="651" spans="1:13" ht="15.6" x14ac:dyDescent="0.3">
      <c r="A651" s="107"/>
      <c r="B651" s="101"/>
      <c r="C651" s="102"/>
      <c r="D651" s="102"/>
      <c r="E651" s="95"/>
      <c r="H651" s="96"/>
      <c r="I651" s="103"/>
      <c r="J651" s="104"/>
      <c r="K651" s="99">
        <f t="shared" si="10"/>
        <v>0</v>
      </c>
      <c r="M651" s="106"/>
    </row>
    <row r="652" spans="1:13" ht="15.6" x14ac:dyDescent="0.3">
      <c r="A652" s="107"/>
      <c r="B652" s="101"/>
      <c r="C652" s="102"/>
      <c r="D652" s="102"/>
      <c r="E652" s="95"/>
      <c r="H652" s="96"/>
      <c r="I652" s="103"/>
      <c r="J652" s="104"/>
      <c r="K652" s="99">
        <f t="shared" si="10"/>
        <v>0</v>
      </c>
      <c r="M652" s="106"/>
    </row>
    <row r="653" spans="1:13" ht="15.6" x14ac:dyDescent="0.3">
      <c r="A653" s="107"/>
      <c r="B653" s="101"/>
      <c r="C653" s="102"/>
      <c r="D653" s="102"/>
      <c r="E653" s="95"/>
      <c r="H653" s="96"/>
      <c r="I653" s="103"/>
      <c r="J653" s="104"/>
      <c r="K653" s="99">
        <f t="shared" si="10"/>
        <v>0</v>
      </c>
      <c r="M653" s="106"/>
    </row>
    <row r="654" spans="1:13" ht="15.6" x14ac:dyDescent="0.3">
      <c r="A654" s="100"/>
      <c r="B654" s="101"/>
      <c r="C654" s="102"/>
      <c r="D654" s="102"/>
      <c r="E654" s="95"/>
      <c r="H654" s="96"/>
      <c r="I654" s="103"/>
      <c r="J654" s="104"/>
      <c r="K654" s="99">
        <f t="shared" si="10"/>
        <v>0</v>
      </c>
      <c r="M654" s="106"/>
    </row>
    <row r="655" spans="1:13" ht="15.6" x14ac:dyDescent="0.3">
      <c r="A655" s="100"/>
      <c r="B655" s="101"/>
      <c r="C655" s="102"/>
      <c r="D655" s="102"/>
      <c r="E655" s="95"/>
      <c r="H655" s="96"/>
      <c r="I655" s="103"/>
      <c r="J655" s="104"/>
      <c r="K655" s="99">
        <f t="shared" si="10"/>
        <v>0</v>
      </c>
      <c r="M655" s="106"/>
    </row>
    <row r="656" spans="1:13" ht="15.6" x14ac:dyDescent="0.3">
      <c r="A656" s="100"/>
      <c r="B656" s="101"/>
      <c r="C656" s="102"/>
      <c r="D656" s="102"/>
      <c r="E656" s="95"/>
      <c r="H656" s="96"/>
      <c r="I656" s="103"/>
      <c r="J656" s="104"/>
      <c r="K656" s="99">
        <f t="shared" si="10"/>
        <v>0</v>
      </c>
      <c r="M656" s="106"/>
    </row>
    <row r="657" spans="1:13" ht="15.6" x14ac:dyDescent="0.3">
      <c r="A657" s="100"/>
      <c r="B657" s="101"/>
      <c r="C657" s="102"/>
      <c r="D657" s="102"/>
      <c r="E657" s="95"/>
      <c r="H657" s="96"/>
      <c r="I657" s="103"/>
      <c r="J657" s="104"/>
      <c r="K657" s="99">
        <f t="shared" si="10"/>
        <v>0</v>
      </c>
      <c r="M657" s="106"/>
    </row>
    <row r="658" spans="1:13" ht="15.6" x14ac:dyDescent="0.3">
      <c r="A658" s="107"/>
      <c r="B658" s="101"/>
      <c r="C658" s="102"/>
      <c r="D658" s="102"/>
      <c r="E658" s="95"/>
      <c r="H658" s="96"/>
      <c r="I658" s="96"/>
      <c r="J658" s="108"/>
      <c r="K658" s="99">
        <f t="shared" si="10"/>
        <v>0</v>
      </c>
      <c r="M658" s="106"/>
    </row>
    <row r="659" spans="1:13" ht="15.6" x14ac:dyDescent="0.3">
      <c r="A659" s="107"/>
      <c r="B659" s="101"/>
      <c r="C659" s="102"/>
      <c r="D659" s="102"/>
      <c r="E659" s="95"/>
      <c r="H659" s="96"/>
      <c r="I659" s="103"/>
      <c r="J659" s="104"/>
      <c r="K659" s="99">
        <f t="shared" si="10"/>
        <v>0</v>
      </c>
      <c r="M659" s="106"/>
    </row>
    <row r="660" spans="1:13" ht="15.6" x14ac:dyDescent="0.3">
      <c r="A660" s="107"/>
      <c r="B660" s="101"/>
      <c r="C660" s="102"/>
      <c r="D660" s="102"/>
      <c r="E660" s="95"/>
      <c r="H660" s="96"/>
      <c r="I660" s="103"/>
      <c r="J660" s="104"/>
      <c r="K660" s="99">
        <f t="shared" si="10"/>
        <v>0</v>
      </c>
      <c r="M660" s="106"/>
    </row>
    <row r="661" spans="1:13" ht="15.6" x14ac:dyDescent="0.3">
      <c r="A661" s="107"/>
      <c r="B661" s="101"/>
      <c r="C661" s="102"/>
      <c r="D661" s="102"/>
      <c r="E661" s="95"/>
      <c r="H661" s="96"/>
      <c r="I661" s="103"/>
      <c r="J661" s="104"/>
      <c r="K661" s="99">
        <f t="shared" si="10"/>
        <v>0</v>
      </c>
      <c r="M661" s="106"/>
    </row>
    <row r="662" spans="1:13" ht="15.6" x14ac:dyDescent="0.3">
      <c r="A662" s="107"/>
      <c r="B662" s="101"/>
      <c r="C662" s="102"/>
      <c r="D662" s="102"/>
      <c r="E662" s="95"/>
      <c r="H662" s="96"/>
      <c r="I662" s="103"/>
      <c r="J662" s="104"/>
      <c r="K662" s="99">
        <f t="shared" si="10"/>
        <v>0</v>
      </c>
      <c r="M662" s="106"/>
    </row>
    <row r="663" spans="1:13" ht="15.6" x14ac:dyDescent="0.3">
      <c r="A663" s="107"/>
      <c r="B663" s="101"/>
      <c r="C663" s="102"/>
      <c r="D663" s="102"/>
      <c r="E663" s="95"/>
      <c r="H663" s="96"/>
      <c r="I663" s="96"/>
      <c r="J663" s="108"/>
      <c r="K663" s="99">
        <f t="shared" si="10"/>
        <v>0</v>
      </c>
      <c r="M663" s="106"/>
    </row>
    <row r="664" spans="1:13" ht="15.6" x14ac:dyDescent="0.3">
      <c r="A664" s="107"/>
      <c r="B664" s="101"/>
      <c r="C664" s="102"/>
      <c r="D664" s="102"/>
      <c r="E664" s="95"/>
      <c r="H664" s="96"/>
      <c r="I664" s="103"/>
      <c r="J664" s="104"/>
      <c r="K664" s="99">
        <f t="shared" si="10"/>
        <v>0</v>
      </c>
      <c r="M664" s="106"/>
    </row>
    <row r="665" spans="1:13" ht="15.6" x14ac:dyDescent="0.3">
      <c r="A665" s="107"/>
      <c r="B665" s="101"/>
      <c r="C665" s="102"/>
      <c r="D665" s="102"/>
      <c r="E665" s="95"/>
      <c r="H665" s="96"/>
      <c r="I665" s="103"/>
      <c r="J665" s="104"/>
      <c r="K665" s="99">
        <f t="shared" si="10"/>
        <v>0</v>
      </c>
      <c r="M665" s="106"/>
    </row>
    <row r="666" spans="1:13" ht="15.6" x14ac:dyDescent="0.3">
      <c r="A666" s="107"/>
      <c r="B666" s="101"/>
      <c r="C666" s="102"/>
      <c r="D666" s="102"/>
      <c r="E666" s="95"/>
      <c r="H666" s="96"/>
      <c r="I666" s="103"/>
      <c r="J666" s="104"/>
      <c r="K666" s="99">
        <f t="shared" si="10"/>
        <v>0</v>
      </c>
      <c r="M666" s="106"/>
    </row>
    <row r="667" spans="1:13" ht="15.6" x14ac:dyDescent="0.3">
      <c r="A667" s="107"/>
      <c r="B667" s="101"/>
      <c r="C667" s="102"/>
      <c r="D667" s="102"/>
      <c r="E667" s="95"/>
      <c r="H667" s="96"/>
      <c r="I667" s="103"/>
      <c r="J667" s="104"/>
      <c r="K667" s="99">
        <f t="shared" si="10"/>
        <v>0</v>
      </c>
      <c r="M667" s="106"/>
    </row>
    <row r="668" spans="1:13" ht="15.6" x14ac:dyDescent="0.3">
      <c r="A668" s="107"/>
      <c r="B668" s="101"/>
      <c r="C668" s="102"/>
      <c r="D668" s="102"/>
      <c r="E668" s="95"/>
      <c r="H668" s="96"/>
      <c r="I668" s="96"/>
      <c r="J668" s="108"/>
      <c r="K668" s="99">
        <f t="shared" si="10"/>
        <v>0</v>
      </c>
      <c r="M668" s="106"/>
    </row>
    <row r="669" spans="1:13" ht="15.6" x14ac:dyDescent="0.3">
      <c r="A669" s="107"/>
      <c r="B669" s="101"/>
      <c r="C669" s="102"/>
      <c r="D669" s="102"/>
      <c r="E669" s="95"/>
      <c r="H669" s="96"/>
      <c r="I669" s="103"/>
      <c r="J669" s="104"/>
      <c r="K669" s="99">
        <f t="shared" si="10"/>
        <v>0</v>
      </c>
      <c r="M669" s="106"/>
    </row>
    <row r="670" spans="1:13" ht="15.6" x14ac:dyDescent="0.3">
      <c r="A670" s="107"/>
      <c r="B670" s="101"/>
      <c r="C670" s="102"/>
      <c r="D670" s="102"/>
      <c r="E670" s="95"/>
      <c r="H670" s="96"/>
      <c r="I670" s="103"/>
      <c r="J670" s="104"/>
      <c r="K670" s="99">
        <f t="shared" si="10"/>
        <v>0</v>
      </c>
      <c r="M670" s="106"/>
    </row>
    <row r="671" spans="1:13" ht="15.6" x14ac:dyDescent="0.3">
      <c r="A671" s="107"/>
      <c r="B671" s="101"/>
      <c r="C671" s="102"/>
      <c r="D671" s="102"/>
      <c r="E671" s="95"/>
      <c r="H671" s="96"/>
      <c r="I671" s="103"/>
      <c r="J671" s="104"/>
      <c r="K671" s="99">
        <f t="shared" si="10"/>
        <v>0</v>
      </c>
      <c r="M671" s="106"/>
    </row>
    <row r="672" spans="1:13" ht="15.6" x14ac:dyDescent="0.3">
      <c r="A672" s="107"/>
      <c r="B672" s="101"/>
      <c r="C672" s="102"/>
      <c r="D672" s="102"/>
      <c r="E672" s="95"/>
      <c r="H672" s="96"/>
      <c r="I672" s="103"/>
      <c r="J672" s="104"/>
      <c r="K672" s="99">
        <f t="shared" si="10"/>
        <v>0</v>
      </c>
      <c r="M672" s="106"/>
    </row>
    <row r="673" spans="1:13" ht="15.6" x14ac:dyDescent="0.3">
      <c r="A673" s="107"/>
      <c r="B673" s="101"/>
      <c r="C673" s="102"/>
      <c r="D673" s="102"/>
      <c r="E673" s="95"/>
      <c r="H673" s="96"/>
      <c r="I673" s="96"/>
      <c r="J673" s="108"/>
      <c r="K673" s="99">
        <f t="shared" si="10"/>
        <v>0</v>
      </c>
      <c r="M673" s="106"/>
    </row>
    <row r="674" spans="1:13" ht="15.6" x14ac:dyDescent="0.3">
      <c r="A674" s="107"/>
      <c r="B674" s="101"/>
      <c r="C674" s="102"/>
      <c r="D674" s="102"/>
      <c r="E674" s="95"/>
      <c r="H674" s="96"/>
      <c r="I674" s="103"/>
      <c r="J674" s="104"/>
      <c r="K674" s="99">
        <f t="shared" si="10"/>
        <v>0</v>
      </c>
      <c r="M674" s="106"/>
    </row>
    <row r="675" spans="1:13" ht="15.6" x14ac:dyDescent="0.3">
      <c r="A675" s="107"/>
      <c r="B675" s="101"/>
      <c r="C675" s="102"/>
      <c r="D675" s="102"/>
      <c r="E675" s="95"/>
      <c r="H675" s="96"/>
      <c r="I675" s="103"/>
      <c r="J675" s="104"/>
      <c r="K675" s="99">
        <f t="shared" si="10"/>
        <v>0</v>
      </c>
      <c r="M675" s="106"/>
    </row>
    <row r="676" spans="1:13" x14ac:dyDescent="0.3">
      <c r="A676" s="107"/>
      <c r="B676" s="101"/>
      <c r="C676" s="102"/>
      <c r="D676" s="102"/>
      <c r="E676" s="95"/>
      <c r="H676" s="96"/>
      <c r="I676" s="103"/>
      <c r="J676" s="104"/>
      <c r="K676" s="99">
        <f t="shared" si="10"/>
        <v>0</v>
      </c>
      <c r="M676" s="66"/>
    </row>
    <row r="677" spans="1:13" ht="15.6" x14ac:dyDescent="0.3">
      <c r="A677" s="107"/>
      <c r="B677" s="101"/>
      <c r="C677" s="102"/>
      <c r="D677" s="102"/>
      <c r="E677" s="95"/>
      <c r="H677" s="96"/>
      <c r="I677" s="103"/>
      <c r="J677" s="104"/>
      <c r="K677" s="99">
        <f t="shared" si="10"/>
        <v>0</v>
      </c>
      <c r="M677" s="106"/>
    </row>
    <row r="678" spans="1:13" ht="15.6" x14ac:dyDescent="0.3">
      <c r="A678" s="107"/>
      <c r="B678" s="101"/>
      <c r="C678" s="102"/>
      <c r="D678" s="102"/>
      <c r="E678" s="95"/>
      <c r="H678" s="96"/>
      <c r="I678" s="96"/>
      <c r="J678" s="108"/>
      <c r="K678" s="99">
        <f t="shared" si="10"/>
        <v>0</v>
      </c>
      <c r="M678" s="106"/>
    </row>
    <row r="679" spans="1:13" ht="15.6" x14ac:dyDescent="0.3">
      <c r="A679" s="107"/>
      <c r="B679" s="101"/>
      <c r="C679" s="102"/>
      <c r="D679" s="102"/>
      <c r="E679" s="95"/>
      <c r="H679" s="96"/>
      <c r="I679" s="103"/>
      <c r="J679" s="104"/>
      <c r="K679" s="99">
        <f t="shared" si="10"/>
        <v>0</v>
      </c>
      <c r="M679" s="106"/>
    </row>
    <row r="680" spans="1:13" ht="15.6" x14ac:dyDescent="0.3">
      <c r="A680" s="107"/>
      <c r="B680" s="101"/>
      <c r="C680" s="102"/>
      <c r="D680" s="102"/>
      <c r="E680" s="95"/>
      <c r="H680" s="96"/>
      <c r="I680" s="103"/>
      <c r="J680" s="104"/>
      <c r="K680" s="99">
        <f t="shared" si="10"/>
        <v>0</v>
      </c>
      <c r="M680" s="106"/>
    </row>
    <row r="681" spans="1:13" ht="15.6" x14ac:dyDescent="0.3">
      <c r="A681" s="107"/>
      <c r="B681" s="101"/>
      <c r="C681" s="102"/>
      <c r="D681" s="102"/>
      <c r="E681" s="95"/>
      <c r="H681" s="96"/>
      <c r="I681" s="103"/>
      <c r="J681" s="104"/>
      <c r="K681" s="99">
        <f t="shared" si="10"/>
        <v>0</v>
      </c>
      <c r="M681" s="106"/>
    </row>
    <row r="682" spans="1:13" ht="15.6" x14ac:dyDescent="0.3">
      <c r="A682" s="107"/>
      <c r="B682" s="101"/>
      <c r="C682" s="102"/>
      <c r="D682" s="102"/>
      <c r="E682" s="95"/>
      <c r="H682" s="96"/>
      <c r="I682" s="103"/>
      <c r="J682" s="104"/>
      <c r="K682" s="99">
        <f t="shared" si="10"/>
        <v>0</v>
      </c>
      <c r="M682" s="106"/>
    </row>
    <row r="683" spans="1:13" ht="15.6" x14ac:dyDescent="0.3">
      <c r="A683" s="107"/>
      <c r="B683" s="101"/>
      <c r="C683" s="102"/>
      <c r="D683" s="102"/>
      <c r="E683" s="95"/>
      <c r="H683" s="96"/>
      <c r="I683" s="96"/>
      <c r="J683" s="108"/>
      <c r="K683" s="99">
        <f t="shared" si="10"/>
        <v>0</v>
      </c>
      <c r="M683" s="106"/>
    </row>
    <row r="684" spans="1:13" ht="15.6" x14ac:dyDescent="0.3">
      <c r="A684" s="107"/>
      <c r="B684" s="101"/>
      <c r="C684" s="102"/>
      <c r="D684" s="102"/>
      <c r="E684" s="95"/>
      <c r="H684" s="96"/>
      <c r="I684" s="103"/>
      <c r="J684" s="104"/>
      <c r="K684" s="99">
        <f t="shared" si="10"/>
        <v>0</v>
      </c>
      <c r="M684" s="106"/>
    </row>
    <row r="685" spans="1:13" ht="15.6" x14ac:dyDescent="0.3">
      <c r="A685" s="107"/>
      <c r="B685" s="101"/>
      <c r="C685" s="102"/>
      <c r="D685" s="102"/>
      <c r="E685" s="95"/>
      <c r="H685" s="96"/>
      <c r="I685" s="103"/>
      <c r="J685" s="104"/>
      <c r="K685" s="99">
        <f t="shared" si="10"/>
        <v>0</v>
      </c>
      <c r="M685" s="106"/>
    </row>
    <row r="686" spans="1:13" ht="15.6" x14ac:dyDescent="0.3">
      <c r="A686" s="107"/>
      <c r="B686" s="101"/>
      <c r="C686" s="102"/>
      <c r="D686" s="102"/>
      <c r="E686" s="95"/>
      <c r="H686" s="96"/>
      <c r="I686" s="103"/>
      <c r="J686" s="104"/>
      <c r="K686" s="99">
        <f t="shared" si="10"/>
        <v>0</v>
      </c>
      <c r="M686" s="106"/>
    </row>
    <row r="687" spans="1:13" ht="15.6" x14ac:dyDescent="0.3">
      <c r="A687" s="107"/>
      <c r="B687" s="101"/>
      <c r="C687" s="102"/>
      <c r="D687" s="102"/>
      <c r="E687" s="95"/>
      <c r="H687" s="96"/>
      <c r="I687" s="103"/>
      <c r="J687" s="104"/>
      <c r="K687" s="99">
        <f t="shared" si="10"/>
        <v>0</v>
      </c>
      <c r="M687" s="106"/>
    </row>
    <row r="688" spans="1:13" ht="15.6" x14ac:dyDescent="0.3">
      <c r="A688" s="107"/>
      <c r="B688" s="101"/>
      <c r="C688" s="102"/>
      <c r="D688" s="102"/>
      <c r="E688" s="95"/>
      <c r="H688" s="96"/>
      <c r="I688" s="96"/>
      <c r="J688" s="108"/>
      <c r="K688" s="99">
        <f t="shared" si="10"/>
        <v>0</v>
      </c>
      <c r="M688" s="106"/>
    </row>
    <row r="689" spans="1:13" ht="15.6" x14ac:dyDescent="0.3">
      <c r="A689" s="107"/>
      <c r="B689" s="101"/>
      <c r="C689" s="102"/>
      <c r="D689" s="102"/>
      <c r="E689" s="95"/>
      <c r="H689" s="96"/>
      <c r="I689" s="103"/>
      <c r="J689" s="104"/>
      <c r="K689" s="99">
        <f t="shared" si="10"/>
        <v>0</v>
      </c>
      <c r="M689" s="106"/>
    </row>
    <row r="690" spans="1:13" ht="15.6" x14ac:dyDescent="0.3">
      <c r="A690" s="107"/>
      <c r="B690" s="101"/>
      <c r="C690" s="102"/>
      <c r="D690" s="102"/>
      <c r="E690" s="95"/>
      <c r="H690" s="96"/>
      <c r="I690" s="103"/>
      <c r="J690" s="104"/>
      <c r="K690" s="99">
        <f t="shared" si="10"/>
        <v>0</v>
      </c>
      <c r="M690" s="106"/>
    </row>
    <row r="691" spans="1:13" ht="15.6" x14ac:dyDescent="0.3">
      <c r="A691" s="107"/>
      <c r="B691" s="101"/>
      <c r="C691" s="102"/>
      <c r="D691" s="102"/>
      <c r="E691" s="95"/>
      <c r="H691" s="96"/>
      <c r="I691" s="103"/>
      <c r="J691" s="104"/>
      <c r="K691" s="99">
        <f t="shared" si="10"/>
        <v>0</v>
      </c>
      <c r="M691" s="106"/>
    </row>
    <row r="692" spans="1:13" ht="15.6" x14ac:dyDescent="0.3">
      <c r="A692" s="107"/>
      <c r="B692" s="101"/>
      <c r="C692" s="102"/>
      <c r="D692" s="102"/>
      <c r="E692" s="95"/>
      <c r="H692" s="96"/>
      <c r="I692" s="103"/>
      <c r="J692" s="104"/>
      <c r="K692" s="99">
        <f t="shared" si="10"/>
        <v>0</v>
      </c>
      <c r="M692" s="106"/>
    </row>
    <row r="693" spans="1:13" ht="15.6" x14ac:dyDescent="0.3">
      <c r="A693" s="107"/>
      <c r="B693" s="101"/>
      <c r="C693" s="102"/>
      <c r="D693" s="102"/>
      <c r="E693" s="95"/>
      <c r="H693" s="96"/>
      <c r="I693" s="96"/>
      <c r="J693" s="108"/>
      <c r="K693" s="99">
        <f t="shared" si="10"/>
        <v>0</v>
      </c>
      <c r="M693" s="106"/>
    </row>
    <row r="694" spans="1:13" ht="15.6" x14ac:dyDescent="0.3">
      <c r="A694" s="107"/>
      <c r="B694" s="101"/>
      <c r="C694" s="102"/>
      <c r="D694" s="102"/>
      <c r="E694" s="95"/>
      <c r="H694" s="96"/>
      <c r="I694" s="103"/>
      <c r="J694" s="104"/>
      <c r="K694" s="99">
        <f t="shared" si="10"/>
        <v>0</v>
      </c>
      <c r="M694" s="106"/>
    </row>
    <row r="695" spans="1:13" ht="15.6" x14ac:dyDescent="0.3">
      <c r="A695" s="107"/>
      <c r="B695" s="101"/>
      <c r="C695" s="102"/>
      <c r="D695" s="102"/>
      <c r="E695" s="95"/>
      <c r="H695" s="96"/>
      <c r="I695" s="103"/>
      <c r="J695" s="104"/>
      <c r="K695" s="99">
        <f t="shared" si="10"/>
        <v>0</v>
      </c>
      <c r="M695" s="106"/>
    </row>
    <row r="696" spans="1:13" ht="15.6" x14ac:dyDescent="0.3">
      <c r="A696" s="107"/>
      <c r="B696" s="101"/>
      <c r="C696" s="102"/>
      <c r="D696" s="102"/>
      <c r="E696" s="95"/>
      <c r="H696" s="96"/>
      <c r="I696" s="103"/>
      <c r="J696" s="104"/>
      <c r="K696" s="99">
        <f t="shared" si="10"/>
        <v>0</v>
      </c>
      <c r="M696" s="106"/>
    </row>
    <row r="697" spans="1:13" ht="15.6" x14ac:dyDescent="0.3">
      <c r="A697" s="107"/>
      <c r="B697" s="101"/>
      <c r="C697" s="102"/>
      <c r="D697" s="102"/>
      <c r="E697" s="95"/>
      <c r="H697" s="96"/>
      <c r="I697" s="103"/>
      <c r="J697" s="104"/>
      <c r="K697" s="99">
        <f t="shared" si="10"/>
        <v>0</v>
      </c>
      <c r="M697" s="106"/>
    </row>
    <row r="698" spans="1:13" ht="15.6" x14ac:dyDescent="0.3">
      <c r="A698" s="107"/>
      <c r="B698" s="101"/>
      <c r="C698" s="102"/>
      <c r="D698" s="102"/>
      <c r="E698" s="95"/>
      <c r="H698" s="96"/>
      <c r="I698" s="96"/>
      <c r="J698" s="108"/>
      <c r="K698" s="99">
        <f t="shared" si="10"/>
        <v>0</v>
      </c>
      <c r="M698" s="106"/>
    </row>
    <row r="699" spans="1:13" ht="15.6" x14ac:dyDescent="0.3">
      <c r="A699" s="107"/>
      <c r="B699" s="101"/>
      <c r="C699" s="102"/>
      <c r="D699" s="102"/>
      <c r="E699" s="95"/>
      <c r="H699" s="96"/>
      <c r="I699" s="103"/>
      <c r="J699" s="104"/>
      <c r="K699" s="99">
        <f t="shared" si="10"/>
        <v>0</v>
      </c>
      <c r="M699" s="106"/>
    </row>
    <row r="700" spans="1:13" ht="15.6" x14ac:dyDescent="0.3">
      <c r="A700" s="107"/>
      <c r="B700" s="101"/>
      <c r="C700" s="102"/>
      <c r="D700" s="102"/>
      <c r="E700" s="95"/>
      <c r="H700" s="96"/>
      <c r="I700" s="103"/>
      <c r="J700" s="104"/>
      <c r="K700" s="99">
        <f t="shared" si="10"/>
        <v>0</v>
      </c>
      <c r="M700" s="106"/>
    </row>
    <row r="701" spans="1:13" ht="15.6" x14ac:dyDescent="0.3">
      <c r="A701" s="107"/>
      <c r="B701" s="101"/>
      <c r="C701" s="102"/>
      <c r="D701" s="102"/>
      <c r="E701" s="95"/>
      <c r="H701" s="96"/>
      <c r="I701" s="103"/>
      <c r="J701" s="104"/>
      <c r="K701" s="99">
        <f t="shared" si="10"/>
        <v>0</v>
      </c>
      <c r="M701" s="106"/>
    </row>
    <row r="702" spans="1:13" ht="15.6" x14ac:dyDescent="0.3">
      <c r="A702" s="107"/>
      <c r="B702" s="101"/>
      <c r="C702" s="102"/>
      <c r="D702" s="102"/>
      <c r="E702" s="95"/>
      <c r="H702" s="96"/>
      <c r="I702" s="103"/>
      <c r="J702" s="104"/>
      <c r="K702" s="99">
        <f t="shared" si="10"/>
        <v>0</v>
      </c>
      <c r="M702" s="106"/>
    </row>
    <row r="703" spans="1:13" ht="15.6" x14ac:dyDescent="0.3">
      <c r="A703" s="107"/>
      <c r="B703" s="101"/>
      <c r="C703" s="102"/>
      <c r="D703" s="102"/>
      <c r="E703" s="95"/>
      <c r="H703" s="96"/>
      <c r="I703" s="96"/>
      <c r="J703" s="108"/>
      <c r="K703" s="99">
        <f t="shared" si="10"/>
        <v>0</v>
      </c>
      <c r="M703" s="106"/>
    </row>
    <row r="704" spans="1:13" ht="15.6" x14ac:dyDescent="0.3">
      <c r="A704" s="107"/>
      <c r="B704" s="101"/>
      <c r="C704" s="102"/>
      <c r="D704" s="102"/>
      <c r="E704" s="95"/>
      <c r="H704" s="96"/>
      <c r="I704" s="103"/>
      <c r="J704" s="104"/>
      <c r="K704" s="99">
        <f t="shared" si="10"/>
        <v>0</v>
      </c>
      <c r="M704" s="106"/>
    </row>
    <row r="705" spans="1:13" ht="15.6" x14ac:dyDescent="0.3">
      <c r="A705" s="107"/>
      <c r="B705" s="101"/>
      <c r="C705" s="102"/>
      <c r="D705" s="102"/>
      <c r="E705" s="95"/>
      <c r="H705" s="96"/>
      <c r="I705" s="103"/>
      <c r="J705" s="104"/>
      <c r="K705" s="99">
        <f t="shared" si="10"/>
        <v>0</v>
      </c>
      <c r="M705" s="106"/>
    </row>
    <row r="706" spans="1:13" ht="15.6" x14ac:dyDescent="0.3">
      <c r="A706" s="107"/>
      <c r="B706" s="101"/>
      <c r="C706" s="102"/>
      <c r="D706" s="102"/>
      <c r="E706" s="95"/>
      <c r="H706" s="96"/>
      <c r="I706" s="103"/>
      <c r="J706" s="104"/>
      <c r="K706" s="99">
        <f t="shared" si="10"/>
        <v>0</v>
      </c>
      <c r="M706" s="106"/>
    </row>
    <row r="707" spans="1:13" ht="15.6" x14ac:dyDescent="0.3">
      <c r="A707" s="107"/>
      <c r="B707" s="101"/>
      <c r="C707" s="102"/>
      <c r="D707" s="102"/>
      <c r="E707" s="95"/>
      <c r="H707" s="96"/>
      <c r="I707" s="103"/>
      <c r="J707" s="104"/>
      <c r="K707" s="99">
        <f t="shared" si="10"/>
        <v>0</v>
      </c>
      <c r="M707" s="106"/>
    </row>
    <row r="708" spans="1:13" ht="15.6" x14ac:dyDescent="0.3">
      <c r="A708" s="107"/>
      <c r="B708" s="101"/>
      <c r="C708" s="102"/>
      <c r="D708" s="102"/>
      <c r="E708" s="95"/>
      <c r="H708" s="96"/>
      <c r="I708" s="96"/>
      <c r="J708" s="108"/>
      <c r="K708" s="99">
        <f t="shared" si="10"/>
        <v>0</v>
      </c>
      <c r="M708" s="106"/>
    </row>
    <row r="709" spans="1:13" ht="15.6" x14ac:dyDescent="0.3">
      <c r="A709" s="107"/>
      <c r="B709" s="101"/>
      <c r="C709" s="102"/>
      <c r="D709" s="102"/>
      <c r="E709" s="95"/>
      <c r="H709" s="96"/>
      <c r="I709" s="103"/>
      <c r="J709" s="104"/>
      <c r="K709" s="99">
        <f t="shared" ref="K709:K772" si="11">IF(H709 ="x",IF(B709="Fotó", 1,IF(B709 = "2D grafika", 3, IF(B709 = "3D grafika", 8, IF(B709 ="2D animáció", IF(J709&lt;=10, 25, IF(J709&lt;=20, 28, IF(J709&lt;=30, 31, IF(J709&lt;=40, 34, IF(J709&lt;=50, 37, 37 + ROUNDUP((J709-50)/10, 0)*3))))),IF(B709="3D animáció", IF(J709&lt;=10, 40, IF(J709&lt;=20, 48, IF(J709&lt;=30, 56, IF(J709&lt;=40, 64, IF(J709&lt;=50, 72, 72 + ROUNDUP((J709-50)/10, 0)*8))))), IF(B709="Videó egyszereplős", ROUNDUP(J709/10,0)*2, IF(B709 ="Videó egyszereplős narrációval", ROUNDUP(J709/10,0)*3, IF(B709="Videó többszereplős", ROUNDUP(J709/10,0)*2, IF(B709 ="Videó többszereplős narrációval", ROUNDUP(J709/10,0)*4, IF(B709 ="Hangzóanyag", ROUNDUP(J709/10,0)*1, IF(B709="Interaktív animáció (szimuláció)",13,0))))))))))),0)</f>
        <v>0</v>
      </c>
      <c r="M709" s="106"/>
    </row>
    <row r="710" spans="1:13" ht="15.6" x14ac:dyDescent="0.3">
      <c r="A710" s="107"/>
      <c r="B710" s="101"/>
      <c r="C710" s="102"/>
      <c r="D710" s="102"/>
      <c r="E710" s="95"/>
      <c r="H710" s="96"/>
      <c r="I710" s="103"/>
      <c r="J710" s="104"/>
      <c r="K710" s="99">
        <f t="shared" si="11"/>
        <v>0</v>
      </c>
      <c r="M710" s="106"/>
    </row>
    <row r="711" spans="1:13" ht="15.6" x14ac:dyDescent="0.3">
      <c r="A711" s="107"/>
      <c r="B711" s="101"/>
      <c r="C711" s="102"/>
      <c r="D711" s="102"/>
      <c r="E711" s="95"/>
      <c r="H711" s="96"/>
      <c r="I711" s="103"/>
      <c r="J711" s="104"/>
      <c r="K711" s="99">
        <f t="shared" si="11"/>
        <v>0</v>
      </c>
      <c r="M711" s="106"/>
    </row>
    <row r="712" spans="1:13" ht="15.6" x14ac:dyDescent="0.3">
      <c r="A712" s="107"/>
      <c r="B712" s="101"/>
      <c r="C712" s="102"/>
      <c r="D712" s="102"/>
      <c r="E712" s="95"/>
      <c r="H712" s="96"/>
      <c r="I712" s="103"/>
      <c r="J712" s="104"/>
      <c r="K712" s="99">
        <f t="shared" si="11"/>
        <v>0</v>
      </c>
      <c r="M712" s="106"/>
    </row>
    <row r="713" spans="1:13" ht="15.6" x14ac:dyDescent="0.3">
      <c r="A713" s="100"/>
      <c r="B713" s="101"/>
      <c r="C713" s="102"/>
      <c r="D713" s="102"/>
      <c r="E713" s="95"/>
      <c r="H713" s="96"/>
      <c r="I713" s="103"/>
      <c r="J713" s="104"/>
      <c r="K713" s="99">
        <f t="shared" si="11"/>
        <v>0</v>
      </c>
      <c r="M713" s="106"/>
    </row>
    <row r="714" spans="1:13" ht="15.6" x14ac:dyDescent="0.3">
      <c r="A714" s="100"/>
      <c r="B714" s="101"/>
      <c r="C714" s="102"/>
      <c r="D714" s="102"/>
      <c r="E714" s="95"/>
      <c r="H714" s="96"/>
      <c r="I714" s="103"/>
      <c r="J714" s="104"/>
      <c r="K714" s="99">
        <f t="shared" si="11"/>
        <v>0</v>
      </c>
      <c r="M714" s="106"/>
    </row>
    <row r="715" spans="1:13" ht="15.6" x14ac:dyDescent="0.3">
      <c r="A715" s="100"/>
      <c r="B715" s="101"/>
      <c r="C715" s="102"/>
      <c r="D715" s="102"/>
      <c r="E715" s="95"/>
      <c r="H715" s="96"/>
      <c r="I715" s="103"/>
      <c r="J715" s="104"/>
      <c r="K715" s="99">
        <f t="shared" si="11"/>
        <v>0</v>
      </c>
      <c r="M715" s="106"/>
    </row>
    <row r="716" spans="1:13" ht="15.6" x14ac:dyDescent="0.3">
      <c r="A716" s="100"/>
      <c r="B716" s="101"/>
      <c r="C716" s="102"/>
      <c r="D716" s="102"/>
      <c r="E716" s="95"/>
      <c r="H716" s="96"/>
      <c r="I716" s="103"/>
      <c r="J716" s="104"/>
      <c r="K716" s="99">
        <f t="shared" si="11"/>
        <v>0</v>
      </c>
      <c r="M716" s="106"/>
    </row>
    <row r="717" spans="1:13" ht="15.6" x14ac:dyDescent="0.3">
      <c r="A717" s="107"/>
      <c r="B717" s="101"/>
      <c r="C717" s="102"/>
      <c r="D717" s="102"/>
      <c r="E717" s="95"/>
      <c r="H717" s="96"/>
      <c r="I717" s="96"/>
      <c r="J717" s="108"/>
      <c r="K717" s="99">
        <f t="shared" si="11"/>
        <v>0</v>
      </c>
      <c r="M717" s="106"/>
    </row>
    <row r="718" spans="1:13" ht="15.6" x14ac:dyDescent="0.3">
      <c r="A718" s="107"/>
      <c r="B718" s="101"/>
      <c r="C718" s="102"/>
      <c r="D718" s="102"/>
      <c r="E718" s="95"/>
      <c r="H718" s="96"/>
      <c r="I718" s="103"/>
      <c r="J718" s="104"/>
      <c r="K718" s="99">
        <f t="shared" si="11"/>
        <v>0</v>
      </c>
      <c r="M718" s="106"/>
    </row>
    <row r="719" spans="1:13" ht="15.6" x14ac:dyDescent="0.3">
      <c r="A719" s="107"/>
      <c r="B719" s="101"/>
      <c r="C719" s="102"/>
      <c r="D719" s="102"/>
      <c r="E719" s="95"/>
      <c r="H719" s="96"/>
      <c r="I719" s="103"/>
      <c r="J719" s="104"/>
      <c r="K719" s="99">
        <f t="shared" si="11"/>
        <v>0</v>
      </c>
      <c r="M719" s="106"/>
    </row>
    <row r="720" spans="1:13" ht="15.6" x14ac:dyDescent="0.3">
      <c r="A720" s="107"/>
      <c r="B720" s="101"/>
      <c r="C720" s="102"/>
      <c r="D720" s="102"/>
      <c r="E720" s="95"/>
      <c r="H720" s="96"/>
      <c r="I720" s="103"/>
      <c r="J720" s="104"/>
      <c r="K720" s="99">
        <f t="shared" si="11"/>
        <v>0</v>
      </c>
      <c r="M720" s="106"/>
    </row>
    <row r="721" spans="1:13" ht="15.6" x14ac:dyDescent="0.3">
      <c r="A721" s="107"/>
      <c r="B721" s="101"/>
      <c r="C721" s="102"/>
      <c r="D721" s="102"/>
      <c r="E721" s="95"/>
      <c r="H721" s="96"/>
      <c r="I721" s="103"/>
      <c r="J721" s="104"/>
      <c r="K721" s="99">
        <f t="shared" si="11"/>
        <v>0</v>
      </c>
      <c r="M721" s="106"/>
    </row>
    <row r="722" spans="1:13" ht="15.6" x14ac:dyDescent="0.3">
      <c r="A722" s="107"/>
      <c r="B722" s="101"/>
      <c r="C722" s="102"/>
      <c r="D722" s="102"/>
      <c r="E722" s="95"/>
      <c r="H722" s="96"/>
      <c r="I722" s="96"/>
      <c r="J722" s="108"/>
      <c r="K722" s="99">
        <f t="shared" si="11"/>
        <v>0</v>
      </c>
      <c r="M722" s="106"/>
    </row>
    <row r="723" spans="1:13" ht="15.6" x14ac:dyDescent="0.3">
      <c r="A723" s="107"/>
      <c r="B723" s="101"/>
      <c r="C723" s="102"/>
      <c r="D723" s="102"/>
      <c r="E723" s="95"/>
      <c r="H723" s="96"/>
      <c r="I723" s="103"/>
      <c r="J723" s="104"/>
      <c r="K723" s="99">
        <f t="shared" si="11"/>
        <v>0</v>
      </c>
      <c r="M723" s="106"/>
    </row>
    <row r="724" spans="1:13" ht="15.6" x14ac:dyDescent="0.3">
      <c r="A724" s="107"/>
      <c r="B724" s="101"/>
      <c r="C724" s="102"/>
      <c r="D724" s="102"/>
      <c r="E724" s="95"/>
      <c r="H724" s="96"/>
      <c r="I724" s="103"/>
      <c r="J724" s="104"/>
      <c r="K724" s="99">
        <f t="shared" si="11"/>
        <v>0</v>
      </c>
      <c r="M724" s="106"/>
    </row>
    <row r="725" spans="1:13" ht="15.6" x14ac:dyDescent="0.3">
      <c r="A725" s="107"/>
      <c r="B725" s="101"/>
      <c r="C725" s="102"/>
      <c r="D725" s="102"/>
      <c r="E725" s="95"/>
      <c r="H725" s="96"/>
      <c r="I725" s="103"/>
      <c r="J725" s="104"/>
      <c r="K725" s="99">
        <f t="shared" si="11"/>
        <v>0</v>
      </c>
      <c r="M725" s="106"/>
    </row>
    <row r="726" spans="1:13" ht="15.6" x14ac:dyDescent="0.3">
      <c r="A726" s="107"/>
      <c r="B726" s="101"/>
      <c r="C726" s="102"/>
      <c r="D726" s="102"/>
      <c r="E726" s="95"/>
      <c r="H726" s="96"/>
      <c r="I726" s="103"/>
      <c r="J726" s="104"/>
      <c r="K726" s="99">
        <f t="shared" si="11"/>
        <v>0</v>
      </c>
      <c r="M726" s="106"/>
    </row>
    <row r="727" spans="1:13" ht="15.6" x14ac:dyDescent="0.3">
      <c r="A727" s="107"/>
      <c r="B727" s="101"/>
      <c r="C727" s="102"/>
      <c r="D727" s="102"/>
      <c r="E727" s="95"/>
      <c r="H727" s="96"/>
      <c r="I727" s="96"/>
      <c r="J727" s="108"/>
      <c r="K727" s="99">
        <f t="shared" si="11"/>
        <v>0</v>
      </c>
      <c r="M727" s="106"/>
    </row>
    <row r="728" spans="1:13" ht="15.6" x14ac:dyDescent="0.3">
      <c r="A728" s="107"/>
      <c r="B728" s="101"/>
      <c r="C728" s="102"/>
      <c r="D728" s="102"/>
      <c r="E728" s="95"/>
      <c r="H728" s="96"/>
      <c r="I728" s="103"/>
      <c r="J728" s="104"/>
      <c r="K728" s="99">
        <f t="shared" si="11"/>
        <v>0</v>
      </c>
      <c r="M728" s="106"/>
    </row>
    <row r="729" spans="1:13" ht="15.6" x14ac:dyDescent="0.3">
      <c r="A729" s="107"/>
      <c r="B729" s="101"/>
      <c r="C729" s="102"/>
      <c r="D729" s="102"/>
      <c r="E729" s="95"/>
      <c r="H729" s="96"/>
      <c r="I729" s="103"/>
      <c r="J729" s="104"/>
      <c r="K729" s="99">
        <f t="shared" si="11"/>
        <v>0</v>
      </c>
      <c r="M729" s="106"/>
    </row>
    <row r="730" spans="1:13" ht="15.6" x14ac:dyDescent="0.3">
      <c r="A730" s="107"/>
      <c r="B730" s="101"/>
      <c r="C730" s="102"/>
      <c r="D730" s="102"/>
      <c r="E730" s="95"/>
      <c r="H730" s="96"/>
      <c r="I730" s="103"/>
      <c r="J730" s="104"/>
      <c r="K730" s="99">
        <f t="shared" si="11"/>
        <v>0</v>
      </c>
      <c r="M730" s="106"/>
    </row>
    <row r="731" spans="1:13" ht="15.6" x14ac:dyDescent="0.3">
      <c r="A731" s="107"/>
      <c r="B731" s="101"/>
      <c r="C731" s="102"/>
      <c r="D731" s="102"/>
      <c r="E731" s="95"/>
      <c r="H731" s="96"/>
      <c r="I731" s="103"/>
      <c r="J731" s="104"/>
      <c r="K731" s="99">
        <f t="shared" si="11"/>
        <v>0</v>
      </c>
      <c r="M731" s="106"/>
    </row>
    <row r="732" spans="1:13" ht="15.6" x14ac:dyDescent="0.3">
      <c r="A732" s="107"/>
      <c r="B732" s="101"/>
      <c r="C732" s="102"/>
      <c r="D732" s="102"/>
      <c r="E732" s="95"/>
      <c r="H732" s="96"/>
      <c r="I732" s="96"/>
      <c r="J732" s="108"/>
      <c r="K732" s="99">
        <f t="shared" si="11"/>
        <v>0</v>
      </c>
      <c r="M732" s="106"/>
    </row>
    <row r="733" spans="1:13" ht="15.6" x14ac:dyDescent="0.3">
      <c r="A733" s="107"/>
      <c r="B733" s="101"/>
      <c r="C733" s="102"/>
      <c r="D733" s="102"/>
      <c r="E733" s="95"/>
      <c r="H733" s="96"/>
      <c r="I733" s="103"/>
      <c r="J733" s="104"/>
      <c r="K733" s="99">
        <f t="shared" si="11"/>
        <v>0</v>
      </c>
      <c r="M733" s="106"/>
    </row>
    <row r="734" spans="1:13" ht="15.6" x14ac:dyDescent="0.3">
      <c r="A734" s="107"/>
      <c r="B734" s="101"/>
      <c r="C734" s="102"/>
      <c r="D734" s="102"/>
      <c r="E734" s="95"/>
      <c r="H734" s="96"/>
      <c r="I734" s="103"/>
      <c r="J734" s="104"/>
      <c r="K734" s="99">
        <f t="shared" si="11"/>
        <v>0</v>
      </c>
      <c r="M734" s="106"/>
    </row>
    <row r="735" spans="1:13" x14ac:dyDescent="0.3">
      <c r="A735" s="107"/>
      <c r="B735" s="101"/>
      <c r="C735" s="102"/>
      <c r="D735" s="102"/>
      <c r="E735" s="95"/>
      <c r="H735" s="96"/>
      <c r="I735" s="103"/>
      <c r="J735" s="104"/>
      <c r="K735" s="99">
        <f t="shared" si="11"/>
        <v>0</v>
      </c>
      <c r="M735" s="66"/>
    </row>
    <row r="736" spans="1:13" ht="15.6" x14ac:dyDescent="0.3">
      <c r="A736" s="107"/>
      <c r="B736" s="101"/>
      <c r="C736" s="102"/>
      <c r="D736" s="102"/>
      <c r="E736" s="95"/>
      <c r="H736" s="96"/>
      <c r="I736" s="103"/>
      <c r="J736" s="104"/>
      <c r="K736" s="99">
        <f t="shared" si="11"/>
        <v>0</v>
      </c>
      <c r="M736" s="106"/>
    </row>
    <row r="737" spans="1:13" ht="15.6" x14ac:dyDescent="0.3">
      <c r="A737" s="107"/>
      <c r="B737" s="101"/>
      <c r="C737" s="102"/>
      <c r="D737" s="102"/>
      <c r="E737" s="95"/>
      <c r="H737" s="96"/>
      <c r="I737" s="96"/>
      <c r="J737" s="108"/>
      <c r="K737" s="99">
        <f t="shared" si="11"/>
        <v>0</v>
      </c>
      <c r="M737" s="106"/>
    </row>
    <row r="738" spans="1:13" ht="15.6" x14ac:dyDescent="0.3">
      <c r="A738" s="107"/>
      <c r="B738" s="101"/>
      <c r="C738" s="102"/>
      <c r="D738" s="102"/>
      <c r="E738" s="95"/>
      <c r="H738" s="96"/>
      <c r="I738" s="103"/>
      <c r="J738" s="104"/>
      <c r="K738" s="99">
        <f t="shared" si="11"/>
        <v>0</v>
      </c>
      <c r="M738" s="106"/>
    </row>
    <row r="739" spans="1:13" ht="15.6" x14ac:dyDescent="0.3">
      <c r="A739" s="107"/>
      <c r="B739" s="101"/>
      <c r="C739" s="102"/>
      <c r="D739" s="102"/>
      <c r="E739" s="95"/>
      <c r="H739" s="96"/>
      <c r="I739" s="103"/>
      <c r="J739" s="104"/>
      <c r="K739" s="99">
        <f t="shared" si="11"/>
        <v>0</v>
      </c>
      <c r="M739" s="106"/>
    </row>
    <row r="740" spans="1:13" ht="15.6" x14ac:dyDescent="0.3">
      <c r="A740" s="107"/>
      <c r="B740" s="101"/>
      <c r="C740" s="102"/>
      <c r="D740" s="102"/>
      <c r="E740" s="95"/>
      <c r="H740" s="96"/>
      <c r="I740" s="103"/>
      <c r="J740" s="104"/>
      <c r="K740" s="99">
        <f t="shared" si="11"/>
        <v>0</v>
      </c>
      <c r="M740" s="106"/>
    </row>
    <row r="741" spans="1:13" ht="15.6" x14ac:dyDescent="0.3">
      <c r="A741" s="107"/>
      <c r="B741" s="101"/>
      <c r="C741" s="102"/>
      <c r="D741" s="102"/>
      <c r="E741" s="95"/>
      <c r="H741" s="96"/>
      <c r="I741" s="103"/>
      <c r="J741" s="104"/>
      <c r="K741" s="99">
        <f t="shared" si="11"/>
        <v>0</v>
      </c>
      <c r="M741" s="106"/>
    </row>
    <row r="742" spans="1:13" ht="15.6" x14ac:dyDescent="0.3">
      <c r="A742" s="107"/>
      <c r="B742" s="101"/>
      <c r="C742" s="102"/>
      <c r="D742" s="102"/>
      <c r="E742" s="95"/>
      <c r="H742" s="96"/>
      <c r="I742" s="96"/>
      <c r="J742" s="108"/>
      <c r="K742" s="99">
        <f t="shared" si="11"/>
        <v>0</v>
      </c>
      <c r="M742" s="106"/>
    </row>
    <row r="743" spans="1:13" ht="15.6" x14ac:dyDescent="0.3">
      <c r="A743" s="107"/>
      <c r="B743" s="101"/>
      <c r="C743" s="102"/>
      <c r="D743" s="102"/>
      <c r="E743" s="95"/>
      <c r="H743" s="96"/>
      <c r="I743" s="103"/>
      <c r="J743" s="104"/>
      <c r="K743" s="99">
        <f t="shared" si="11"/>
        <v>0</v>
      </c>
      <c r="M743" s="106"/>
    </row>
    <row r="744" spans="1:13" ht="15.6" x14ac:dyDescent="0.3">
      <c r="A744" s="107"/>
      <c r="B744" s="101"/>
      <c r="C744" s="102"/>
      <c r="D744" s="102"/>
      <c r="E744" s="95"/>
      <c r="H744" s="96"/>
      <c r="I744" s="103"/>
      <c r="J744" s="104"/>
      <c r="K744" s="99">
        <f t="shared" si="11"/>
        <v>0</v>
      </c>
      <c r="M744" s="106"/>
    </row>
    <row r="745" spans="1:13" ht="15.6" x14ac:dyDescent="0.3">
      <c r="A745" s="107"/>
      <c r="B745" s="101"/>
      <c r="C745" s="102"/>
      <c r="D745" s="102"/>
      <c r="E745" s="95"/>
      <c r="H745" s="96"/>
      <c r="I745" s="103"/>
      <c r="J745" s="104"/>
      <c r="K745" s="99">
        <f t="shared" si="11"/>
        <v>0</v>
      </c>
      <c r="M745" s="106"/>
    </row>
    <row r="746" spans="1:13" ht="15.6" x14ac:dyDescent="0.3">
      <c r="A746" s="107"/>
      <c r="B746" s="101"/>
      <c r="C746" s="102"/>
      <c r="D746" s="102"/>
      <c r="E746" s="95"/>
      <c r="H746" s="96"/>
      <c r="I746" s="103"/>
      <c r="J746" s="104"/>
      <c r="K746" s="99">
        <f t="shared" si="11"/>
        <v>0</v>
      </c>
      <c r="M746" s="106"/>
    </row>
    <row r="747" spans="1:13" ht="15.6" x14ac:dyDescent="0.3">
      <c r="A747" s="107"/>
      <c r="B747" s="101"/>
      <c r="C747" s="102"/>
      <c r="D747" s="102"/>
      <c r="E747" s="95"/>
      <c r="H747" s="96"/>
      <c r="I747" s="96"/>
      <c r="J747" s="108"/>
      <c r="K747" s="99">
        <f t="shared" si="11"/>
        <v>0</v>
      </c>
      <c r="M747" s="106"/>
    </row>
    <row r="748" spans="1:13" ht="15.6" x14ac:dyDescent="0.3">
      <c r="A748" s="107"/>
      <c r="B748" s="101"/>
      <c r="C748" s="102"/>
      <c r="D748" s="102"/>
      <c r="E748" s="95"/>
      <c r="H748" s="96"/>
      <c r="I748" s="103"/>
      <c r="J748" s="104"/>
      <c r="K748" s="99">
        <f t="shared" si="11"/>
        <v>0</v>
      </c>
      <c r="M748" s="106"/>
    </row>
    <row r="749" spans="1:13" ht="15.6" x14ac:dyDescent="0.3">
      <c r="A749" s="107"/>
      <c r="B749" s="101"/>
      <c r="C749" s="102"/>
      <c r="D749" s="102"/>
      <c r="E749" s="95"/>
      <c r="H749" s="96"/>
      <c r="I749" s="103"/>
      <c r="J749" s="104"/>
      <c r="K749" s="99">
        <f t="shared" si="11"/>
        <v>0</v>
      </c>
      <c r="M749" s="106"/>
    </row>
    <row r="750" spans="1:13" ht="15.6" x14ac:dyDescent="0.3">
      <c r="A750" s="107"/>
      <c r="B750" s="101"/>
      <c r="C750" s="102"/>
      <c r="D750" s="102"/>
      <c r="E750" s="95"/>
      <c r="H750" s="96"/>
      <c r="I750" s="103"/>
      <c r="J750" s="104"/>
      <c r="K750" s="99">
        <f t="shared" si="11"/>
        <v>0</v>
      </c>
      <c r="M750" s="106"/>
    </row>
    <row r="751" spans="1:13" ht="15.6" x14ac:dyDescent="0.3">
      <c r="A751" s="107"/>
      <c r="B751" s="101"/>
      <c r="C751" s="102"/>
      <c r="D751" s="102"/>
      <c r="E751" s="95"/>
      <c r="H751" s="96"/>
      <c r="I751" s="103"/>
      <c r="J751" s="104"/>
      <c r="K751" s="99">
        <f t="shared" si="11"/>
        <v>0</v>
      </c>
      <c r="M751" s="106"/>
    </row>
    <row r="752" spans="1:13" ht="15.6" x14ac:dyDescent="0.3">
      <c r="A752" s="107"/>
      <c r="B752" s="101"/>
      <c r="C752" s="102"/>
      <c r="D752" s="102"/>
      <c r="E752" s="95"/>
      <c r="H752" s="96"/>
      <c r="I752" s="96"/>
      <c r="J752" s="108"/>
      <c r="K752" s="99">
        <f t="shared" si="11"/>
        <v>0</v>
      </c>
      <c r="M752" s="106"/>
    </row>
    <row r="753" spans="1:13" ht="15.6" x14ac:dyDescent="0.3">
      <c r="A753" s="107"/>
      <c r="B753" s="101"/>
      <c r="C753" s="102"/>
      <c r="D753" s="102"/>
      <c r="E753" s="95"/>
      <c r="H753" s="96"/>
      <c r="I753" s="103"/>
      <c r="J753" s="104"/>
      <c r="K753" s="99">
        <f t="shared" si="11"/>
        <v>0</v>
      </c>
      <c r="M753" s="106"/>
    </row>
    <row r="754" spans="1:13" ht="15.6" x14ac:dyDescent="0.3">
      <c r="A754" s="107"/>
      <c r="B754" s="101"/>
      <c r="C754" s="102"/>
      <c r="D754" s="102"/>
      <c r="E754" s="95"/>
      <c r="H754" s="96"/>
      <c r="I754" s="103"/>
      <c r="J754" s="104"/>
      <c r="K754" s="99">
        <f t="shared" si="11"/>
        <v>0</v>
      </c>
      <c r="M754" s="106"/>
    </row>
    <row r="755" spans="1:13" ht="15.6" x14ac:dyDescent="0.3">
      <c r="A755" s="107"/>
      <c r="B755" s="101"/>
      <c r="C755" s="102"/>
      <c r="D755" s="102"/>
      <c r="E755" s="95"/>
      <c r="H755" s="96"/>
      <c r="I755" s="103"/>
      <c r="J755" s="104"/>
      <c r="K755" s="99">
        <f t="shared" si="11"/>
        <v>0</v>
      </c>
      <c r="M755" s="106"/>
    </row>
    <row r="756" spans="1:13" ht="15.6" x14ac:dyDescent="0.3">
      <c r="A756" s="107"/>
      <c r="B756" s="101"/>
      <c r="C756" s="102"/>
      <c r="D756" s="102"/>
      <c r="E756" s="95"/>
      <c r="H756" s="96"/>
      <c r="I756" s="103"/>
      <c r="J756" s="104"/>
      <c r="K756" s="99">
        <f t="shared" si="11"/>
        <v>0</v>
      </c>
      <c r="M756" s="106"/>
    </row>
    <row r="757" spans="1:13" ht="15.6" x14ac:dyDescent="0.3">
      <c r="A757" s="107"/>
      <c r="B757" s="101"/>
      <c r="C757" s="102"/>
      <c r="D757" s="102"/>
      <c r="E757" s="95"/>
      <c r="H757" s="96"/>
      <c r="I757" s="96"/>
      <c r="J757" s="108"/>
      <c r="K757" s="99">
        <f t="shared" si="11"/>
        <v>0</v>
      </c>
      <c r="M757" s="106"/>
    </row>
    <row r="758" spans="1:13" ht="15.6" x14ac:dyDescent="0.3">
      <c r="A758" s="107"/>
      <c r="B758" s="101"/>
      <c r="C758" s="102"/>
      <c r="D758" s="102"/>
      <c r="E758" s="95"/>
      <c r="H758" s="96"/>
      <c r="I758" s="103"/>
      <c r="J758" s="104"/>
      <c r="K758" s="99">
        <f t="shared" si="11"/>
        <v>0</v>
      </c>
      <c r="M758" s="106"/>
    </row>
    <row r="759" spans="1:13" ht="15.6" x14ac:dyDescent="0.3">
      <c r="A759" s="107"/>
      <c r="B759" s="101"/>
      <c r="C759" s="102"/>
      <c r="D759" s="102"/>
      <c r="E759" s="95"/>
      <c r="H759" s="96"/>
      <c r="I759" s="103"/>
      <c r="J759" s="104"/>
      <c r="K759" s="99">
        <f t="shared" si="11"/>
        <v>0</v>
      </c>
      <c r="M759" s="106"/>
    </row>
    <row r="760" spans="1:13" ht="15.6" x14ac:dyDescent="0.3">
      <c r="A760" s="107"/>
      <c r="B760" s="101"/>
      <c r="C760" s="102"/>
      <c r="D760" s="102"/>
      <c r="E760" s="95"/>
      <c r="H760" s="96"/>
      <c r="I760" s="103"/>
      <c r="J760" s="104"/>
      <c r="K760" s="99">
        <f t="shared" si="11"/>
        <v>0</v>
      </c>
      <c r="M760" s="106"/>
    </row>
    <row r="761" spans="1:13" ht="15.6" x14ac:dyDescent="0.3">
      <c r="A761" s="107"/>
      <c r="B761" s="101"/>
      <c r="C761" s="102"/>
      <c r="D761" s="102"/>
      <c r="E761" s="95"/>
      <c r="H761" s="96"/>
      <c r="I761" s="103"/>
      <c r="J761" s="104"/>
      <c r="K761" s="99">
        <f t="shared" si="11"/>
        <v>0</v>
      </c>
      <c r="M761" s="106"/>
    </row>
    <row r="762" spans="1:13" ht="15.6" x14ac:dyDescent="0.3">
      <c r="A762" s="107"/>
      <c r="B762" s="101"/>
      <c r="C762" s="102"/>
      <c r="D762" s="102"/>
      <c r="E762" s="95"/>
      <c r="H762" s="96"/>
      <c r="I762" s="96"/>
      <c r="J762" s="108"/>
      <c r="K762" s="99">
        <f t="shared" si="11"/>
        <v>0</v>
      </c>
      <c r="M762" s="106"/>
    </row>
    <row r="763" spans="1:13" ht="15.6" x14ac:dyDescent="0.3">
      <c r="A763" s="107"/>
      <c r="B763" s="101"/>
      <c r="C763" s="102"/>
      <c r="D763" s="102"/>
      <c r="E763" s="95"/>
      <c r="H763" s="96"/>
      <c r="I763" s="103"/>
      <c r="J763" s="104"/>
      <c r="K763" s="99">
        <f t="shared" si="11"/>
        <v>0</v>
      </c>
      <c r="M763" s="106"/>
    </row>
    <row r="764" spans="1:13" ht="15.6" x14ac:dyDescent="0.3">
      <c r="A764" s="107"/>
      <c r="B764" s="101"/>
      <c r="C764" s="102"/>
      <c r="D764" s="102"/>
      <c r="E764" s="95"/>
      <c r="H764" s="96"/>
      <c r="I764" s="103"/>
      <c r="J764" s="104"/>
      <c r="K764" s="99">
        <f t="shared" si="11"/>
        <v>0</v>
      </c>
      <c r="M764" s="106"/>
    </row>
    <row r="765" spans="1:13" ht="15.6" x14ac:dyDescent="0.3">
      <c r="A765" s="107"/>
      <c r="B765" s="101"/>
      <c r="C765" s="102"/>
      <c r="D765" s="102"/>
      <c r="E765" s="95"/>
      <c r="H765" s="96"/>
      <c r="I765" s="103"/>
      <c r="J765" s="104"/>
      <c r="K765" s="99">
        <f t="shared" si="11"/>
        <v>0</v>
      </c>
      <c r="M765" s="106"/>
    </row>
    <row r="766" spans="1:13" ht="15.6" x14ac:dyDescent="0.3">
      <c r="A766" s="107"/>
      <c r="B766" s="101"/>
      <c r="C766" s="102"/>
      <c r="D766" s="102"/>
      <c r="E766" s="95"/>
      <c r="H766" s="96"/>
      <c r="I766" s="103"/>
      <c r="J766" s="104"/>
      <c r="K766" s="99">
        <f t="shared" si="11"/>
        <v>0</v>
      </c>
      <c r="M766" s="106"/>
    </row>
    <row r="767" spans="1:13" ht="15.6" x14ac:dyDescent="0.3">
      <c r="A767" s="107"/>
      <c r="B767" s="101"/>
      <c r="C767" s="102"/>
      <c r="D767" s="102"/>
      <c r="E767" s="95"/>
      <c r="H767" s="96"/>
      <c r="I767" s="96"/>
      <c r="J767" s="108"/>
      <c r="K767" s="99">
        <f t="shared" si="11"/>
        <v>0</v>
      </c>
      <c r="M767" s="106"/>
    </row>
    <row r="768" spans="1:13" ht="15.6" x14ac:dyDescent="0.3">
      <c r="A768" s="107"/>
      <c r="B768" s="101"/>
      <c r="C768" s="102"/>
      <c r="D768" s="102"/>
      <c r="E768" s="95"/>
      <c r="H768" s="96"/>
      <c r="I768" s="103"/>
      <c r="J768" s="104"/>
      <c r="K768" s="99">
        <f t="shared" si="11"/>
        <v>0</v>
      </c>
      <c r="M768" s="106"/>
    </row>
    <row r="769" spans="1:13" ht="15.6" x14ac:dyDescent="0.3">
      <c r="A769" s="107"/>
      <c r="B769" s="101"/>
      <c r="C769" s="102"/>
      <c r="D769" s="102"/>
      <c r="E769" s="95"/>
      <c r="H769" s="96"/>
      <c r="I769" s="103"/>
      <c r="J769" s="104"/>
      <c r="K769" s="99">
        <f t="shared" si="11"/>
        <v>0</v>
      </c>
      <c r="M769" s="106"/>
    </row>
    <row r="770" spans="1:13" ht="15.6" x14ac:dyDescent="0.3">
      <c r="A770" s="107"/>
      <c r="B770" s="101"/>
      <c r="C770" s="102"/>
      <c r="D770" s="102"/>
      <c r="E770" s="95"/>
      <c r="H770" s="96"/>
      <c r="I770" s="103"/>
      <c r="J770" s="104"/>
      <c r="K770" s="99">
        <f t="shared" si="11"/>
        <v>0</v>
      </c>
      <c r="M770" s="106"/>
    </row>
    <row r="771" spans="1:13" ht="15.6" x14ac:dyDescent="0.3">
      <c r="A771" s="107"/>
      <c r="B771" s="101"/>
      <c r="C771" s="102"/>
      <c r="D771" s="102"/>
      <c r="E771" s="95"/>
      <c r="H771" s="96"/>
      <c r="I771" s="103"/>
      <c r="J771" s="104"/>
      <c r="K771" s="99">
        <f t="shared" si="11"/>
        <v>0</v>
      </c>
      <c r="M771" s="106"/>
    </row>
    <row r="772" spans="1:13" ht="15.6" x14ac:dyDescent="0.3">
      <c r="A772" s="100"/>
      <c r="B772" s="101"/>
      <c r="C772" s="102"/>
      <c r="D772" s="102"/>
      <c r="E772" s="95"/>
      <c r="H772" s="96"/>
      <c r="I772" s="103"/>
      <c r="J772" s="104"/>
      <c r="K772" s="99">
        <f t="shared" si="11"/>
        <v>0</v>
      </c>
      <c r="M772" s="106"/>
    </row>
    <row r="773" spans="1:13" ht="15.6" x14ac:dyDescent="0.3">
      <c r="A773" s="100"/>
      <c r="B773" s="101"/>
      <c r="C773" s="102"/>
      <c r="D773" s="102"/>
      <c r="E773" s="95"/>
      <c r="H773" s="96"/>
      <c r="I773" s="103"/>
      <c r="J773" s="104"/>
      <c r="K773" s="99">
        <f t="shared" ref="K773:K836" si="12">IF(H773 ="x",IF(B773="Fotó", 1,IF(B773 = "2D grafika", 3, IF(B773 = "3D grafika", 8, IF(B773 ="2D animáció", IF(J773&lt;=10, 25, IF(J773&lt;=20, 28, IF(J773&lt;=30, 31, IF(J773&lt;=40, 34, IF(J773&lt;=50, 37, 37 + ROUNDUP((J773-50)/10, 0)*3))))),IF(B773="3D animáció", IF(J773&lt;=10, 40, IF(J773&lt;=20, 48, IF(J773&lt;=30, 56, IF(J773&lt;=40, 64, IF(J773&lt;=50, 72, 72 + ROUNDUP((J773-50)/10, 0)*8))))), IF(B773="Videó egyszereplős", ROUNDUP(J773/10,0)*2, IF(B773 ="Videó egyszereplős narrációval", ROUNDUP(J773/10,0)*3, IF(B773="Videó többszereplős", ROUNDUP(J773/10,0)*2, IF(B773 ="Videó többszereplős narrációval", ROUNDUP(J773/10,0)*4, IF(B773 ="Hangzóanyag", ROUNDUP(J773/10,0)*1, IF(B773="Interaktív animáció (szimuláció)",13,0))))))))))),0)</f>
        <v>0</v>
      </c>
      <c r="M773" s="106"/>
    </row>
    <row r="774" spans="1:13" ht="15.6" x14ac:dyDescent="0.3">
      <c r="A774" s="100"/>
      <c r="B774" s="101"/>
      <c r="C774" s="102"/>
      <c r="D774" s="102"/>
      <c r="E774" s="95"/>
      <c r="H774" s="96"/>
      <c r="I774" s="103"/>
      <c r="J774" s="104"/>
      <c r="K774" s="99">
        <f t="shared" si="12"/>
        <v>0</v>
      </c>
      <c r="M774" s="106"/>
    </row>
    <row r="775" spans="1:13" ht="15.6" x14ac:dyDescent="0.3">
      <c r="A775" s="100"/>
      <c r="B775" s="101"/>
      <c r="C775" s="102"/>
      <c r="D775" s="102"/>
      <c r="E775" s="95"/>
      <c r="H775" s="96"/>
      <c r="I775" s="103"/>
      <c r="J775" s="104"/>
      <c r="K775" s="99">
        <f t="shared" si="12"/>
        <v>0</v>
      </c>
      <c r="M775" s="106"/>
    </row>
    <row r="776" spans="1:13" ht="15.6" x14ac:dyDescent="0.3">
      <c r="A776" s="107"/>
      <c r="B776" s="101"/>
      <c r="C776" s="102"/>
      <c r="D776" s="102"/>
      <c r="E776" s="95"/>
      <c r="H776" s="96"/>
      <c r="I776" s="96"/>
      <c r="J776" s="108"/>
      <c r="K776" s="99">
        <f t="shared" si="12"/>
        <v>0</v>
      </c>
      <c r="M776" s="106"/>
    </row>
    <row r="777" spans="1:13" ht="15.6" x14ac:dyDescent="0.3">
      <c r="A777" s="107"/>
      <c r="B777" s="101"/>
      <c r="C777" s="102"/>
      <c r="D777" s="102"/>
      <c r="E777" s="95"/>
      <c r="H777" s="96"/>
      <c r="I777" s="103"/>
      <c r="J777" s="104"/>
      <c r="K777" s="99">
        <f t="shared" si="12"/>
        <v>0</v>
      </c>
      <c r="M777" s="106"/>
    </row>
    <row r="778" spans="1:13" ht="15.6" x14ac:dyDescent="0.3">
      <c r="A778" s="107"/>
      <c r="B778" s="101"/>
      <c r="C778" s="102"/>
      <c r="D778" s="102"/>
      <c r="E778" s="95"/>
      <c r="H778" s="96"/>
      <c r="I778" s="103"/>
      <c r="J778" s="104"/>
      <c r="K778" s="99">
        <f t="shared" si="12"/>
        <v>0</v>
      </c>
      <c r="M778" s="106"/>
    </row>
    <row r="779" spans="1:13" ht="15.6" x14ac:dyDescent="0.3">
      <c r="A779" s="107"/>
      <c r="B779" s="101"/>
      <c r="C779" s="102"/>
      <c r="D779" s="102"/>
      <c r="E779" s="95"/>
      <c r="H779" s="96"/>
      <c r="I779" s="103"/>
      <c r="J779" s="104"/>
      <c r="K779" s="99">
        <f t="shared" si="12"/>
        <v>0</v>
      </c>
      <c r="M779" s="106"/>
    </row>
    <row r="780" spans="1:13" ht="15.6" x14ac:dyDescent="0.3">
      <c r="A780" s="107"/>
      <c r="B780" s="101"/>
      <c r="C780" s="102"/>
      <c r="D780" s="102"/>
      <c r="E780" s="95"/>
      <c r="H780" s="96"/>
      <c r="I780" s="103"/>
      <c r="J780" s="104"/>
      <c r="K780" s="99">
        <f t="shared" si="12"/>
        <v>0</v>
      </c>
      <c r="M780" s="106"/>
    </row>
    <row r="781" spans="1:13" ht="15.6" x14ac:dyDescent="0.3">
      <c r="A781" s="107"/>
      <c r="B781" s="101"/>
      <c r="C781" s="102"/>
      <c r="D781" s="102"/>
      <c r="E781" s="95"/>
      <c r="H781" s="96"/>
      <c r="I781" s="96"/>
      <c r="J781" s="108"/>
      <c r="K781" s="99">
        <f t="shared" si="12"/>
        <v>0</v>
      </c>
      <c r="M781" s="106"/>
    </row>
    <row r="782" spans="1:13" ht="15.6" x14ac:dyDescent="0.3">
      <c r="A782" s="107"/>
      <c r="B782" s="101"/>
      <c r="C782" s="102"/>
      <c r="D782" s="102"/>
      <c r="E782" s="95"/>
      <c r="H782" s="96"/>
      <c r="I782" s="103"/>
      <c r="J782" s="104"/>
      <c r="K782" s="99">
        <f t="shared" si="12"/>
        <v>0</v>
      </c>
      <c r="M782" s="106"/>
    </row>
    <row r="783" spans="1:13" ht="15.6" x14ac:dyDescent="0.3">
      <c r="A783" s="107"/>
      <c r="B783" s="101"/>
      <c r="C783" s="102"/>
      <c r="D783" s="102"/>
      <c r="E783" s="95"/>
      <c r="H783" s="96"/>
      <c r="I783" s="103"/>
      <c r="J783" s="104"/>
      <c r="K783" s="99">
        <f t="shared" si="12"/>
        <v>0</v>
      </c>
      <c r="M783" s="106"/>
    </row>
    <row r="784" spans="1:13" ht="15.6" x14ac:dyDescent="0.3">
      <c r="A784" s="107"/>
      <c r="B784" s="101"/>
      <c r="C784" s="102"/>
      <c r="D784" s="102"/>
      <c r="E784" s="95"/>
      <c r="H784" s="96"/>
      <c r="I784" s="103"/>
      <c r="J784" s="104"/>
      <c r="K784" s="99">
        <f t="shared" si="12"/>
        <v>0</v>
      </c>
      <c r="M784" s="106"/>
    </row>
    <row r="785" spans="1:13" ht="15.6" x14ac:dyDescent="0.3">
      <c r="A785" s="107"/>
      <c r="B785" s="101"/>
      <c r="C785" s="102"/>
      <c r="D785" s="102"/>
      <c r="E785" s="95"/>
      <c r="H785" s="96"/>
      <c r="I785" s="103"/>
      <c r="J785" s="104"/>
      <c r="K785" s="99">
        <f t="shared" si="12"/>
        <v>0</v>
      </c>
      <c r="M785" s="106"/>
    </row>
    <row r="786" spans="1:13" ht="15.6" x14ac:dyDescent="0.3">
      <c r="A786" s="107"/>
      <c r="B786" s="101"/>
      <c r="C786" s="102"/>
      <c r="D786" s="102"/>
      <c r="E786" s="95"/>
      <c r="H786" s="96"/>
      <c r="I786" s="96"/>
      <c r="J786" s="108"/>
      <c r="K786" s="99">
        <f t="shared" si="12"/>
        <v>0</v>
      </c>
      <c r="M786" s="106"/>
    </row>
    <row r="787" spans="1:13" ht="15.6" x14ac:dyDescent="0.3">
      <c r="A787" s="107"/>
      <c r="B787" s="101"/>
      <c r="C787" s="102"/>
      <c r="D787" s="102"/>
      <c r="E787" s="95"/>
      <c r="H787" s="96"/>
      <c r="I787" s="103"/>
      <c r="J787" s="104"/>
      <c r="K787" s="99">
        <f t="shared" si="12"/>
        <v>0</v>
      </c>
      <c r="M787" s="106"/>
    </row>
    <row r="788" spans="1:13" ht="15.6" x14ac:dyDescent="0.3">
      <c r="A788" s="107"/>
      <c r="B788" s="101"/>
      <c r="C788" s="102"/>
      <c r="D788" s="102"/>
      <c r="E788" s="95"/>
      <c r="H788" s="96"/>
      <c r="I788" s="103"/>
      <c r="J788" s="104"/>
      <c r="K788" s="99">
        <f t="shared" si="12"/>
        <v>0</v>
      </c>
      <c r="M788" s="106"/>
    </row>
    <row r="789" spans="1:13" ht="15.6" x14ac:dyDescent="0.3">
      <c r="A789" s="107"/>
      <c r="B789" s="101"/>
      <c r="C789" s="102"/>
      <c r="D789" s="102"/>
      <c r="E789" s="95"/>
      <c r="H789" s="96"/>
      <c r="I789" s="103"/>
      <c r="J789" s="104"/>
      <c r="K789" s="99">
        <f t="shared" si="12"/>
        <v>0</v>
      </c>
      <c r="M789" s="106"/>
    </row>
    <row r="790" spans="1:13" ht="15.6" x14ac:dyDescent="0.3">
      <c r="A790" s="107"/>
      <c r="B790" s="101"/>
      <c r="C790" s="102"/>
      <c r="D790" s="102"/>
      <c r="E790" s="95"/>
      <c r="H790" s="96"/>
      <c r="I790" s="103"/>
      <c r="J790" s="104"/>
      <c r="K790" s="99">
        <f t="shared" si="12"/>
        <v>0</v>
      </c>
      <c r="M790" s="106"/>
    </row>
    <row r="791" spans="1:13" ht="15.6" x14ac:dyDescent="0.3">
      <c r="A791" s="107"/>
      <c r="B791" s="101"/>
      <c r="C791" s="102"/>
      <c r="D791" s="102"/>
      <c r="E791" s="95"/>
      <c r="H791" s="96"/>
      <c r="I791" s="96"/>
      <c r="J791" s="108"/>
      <c r="K791" s="99">
        <f t="shared" si="12"/>
        <v>0</v>
      </c>
      <c r="M791" s="106"/>
    </row>
    <row r="792" spans="1:13" ht="15.6" x14ac:dyDescent="0.3">
      <c r="A792" s="107"/>
      <c r="B792" s="101"/>
      <c r="C792" s="102"/>
      <c r="D792" s="102"/>
      <c r="E792" s="95"/>
      <c r="H792" s="96"/>
      <c r="I792" s="103"/>
      <c r="J792" s="104"/>
      <c r="K792" s="99">
        <f t="shared" si="12"/>
        <v>0</v>
      </c>
      <c r="M792" s="106"/>
    </row>
    <row r="793" spans="1:13" ht="15.6" x14ac:dyDescent="0.3">
      <c r="A793" s="107"/>
      <c r="B793" s="101"/>
      <c r="C793" s="102"/>
      <c r="D793" s="102"/>
      <c r="E793" s="95"/>
      <c r="H793" s="96"/>
      <c r="I793" s="103"/>
      <c r="J793" s="104"/>
      <c r="K793" s="99">
        <f t="shared" si="12"/>
        <v>0</v>
      </c>
      <c r="M793" s="106"/>
    </row>
    <row r="794" spans="1:13" x14ac:dyDescent="0.3">
      <c r="A794" s="107"/>
      <c r="B794" s="101"/>
      <c r="C794" s="102"/>
      <c r="D794" s="102"/>
      <c r="E794" s="95"/>
      <c r="H794" s="96"/>
      <c r="I794" s="103"/>
      <c r="J794" s="104"/>
      <c r="K794" s="99">
        <f t="shared" si="12"/>
        <v>0</v>
      </c>
      <c r="M794" s="66"/>
    </row>
    <row r="795" spans="1:13" ht="15.6" x14ac:dyDescent="0.3">
      <c r="A795" s="107"/>
      <c r="B795" s="101"/>
      <c r="C795" s="102"/>
      <c r="D795" s="102"/>
      <c r="E795" s="95"/>
      <c r="H795" s="96"/>
      <c r="I795" s="103"/>
      <c r="J795" s="104"/>
      <c r="K795" s="99">
        <f t="shared" si="12"/>
        <v>0</v>
      </c>
      <c r="M795" s="106"/>
    </row>
    <row r="796" spans="1:13" ht="15.6" x14ac:dyDescent="0.3">
      <c r="A796" s="107"/>
      <c r="B796" s="101"/>
      <c r="C796" s="102"/>
      <c r="D796" s="102"/>
      <c r="E796" s="95"/>
      <c r="H796" s="96"/>
      <c r="I796" s="96"/>
      <c r="J796" s="108"/>
      <c r="K796" s="99">
        <f t="shared" si="12"/>
        <v>0</v>
      </c>
      <c r="M796" s="106"/>
    </row>
    <row r="797" spans="1:13" ht="15.6" x14ac:dyDescent="0.3">
      <c r="A797" s="107"/>
      <c r="B797" s="101"/>
      <c r="C797" s="102"/>
      <c r="D797" s="102"/>
      <c r="E797" s="95"/>
      <c r="H797" s="96"/>
      <c r="I797" s="103"/>
      <c r="J797" s="104"/>
      <c r="K797" s="99">
        <f t="shared" si="12"/>
        <v>0</v>
      </c>
      <c r="M797" s="106"/>
    </row>
    <row r="798" spans="1:13" ht="15.6" x14ac:dyDescent="0.3">
      <c r="A798" s="107"/>
      <c r="B798" s="101"/>
      <c r="C798" s="102"/>
      <c r="D798" s="102"/>
      <c r="E798" s="95"/>
      <c r="H798" s="96"/>
      <c r="I798" s="103"/>
      <c r="J798" s="104"/>
      <c r="K798" s="99">
        <f t="shared" si="12"/>
        <v>0</v>
      </c>
      <c r="M798" s="106"/>
    </row>
    <row r="799" spans="1:13" ht="15.6" x14ac:dyDescent="0.3">
      <c r="A799" s="107"/>
      <c r="B799" s="101"/>
      <c r="C799" s="102"/>
      <c r="D799" s="102"/>
      <c r="E799" s="95"/>
      <c r="H799" s="96"/>
      <c r="I799" s="103"/>
      <c r="J799" s="104"/>
      <c r="K799" s="99">
        <f t="shared" si="12"/>
        <v>0</v>
      </c>
      <c r="M799" s="106"/>
    </row>
    <row r="800" spans="1:13" ht="15.6" x14ac:dyDescent="0.3">
      <c r="A800" s="107"/>
      <c r="B800" s="101"/>
      <c r="C800" s="102"/>
      <c r="D800" s="102"/>
      <c r="E800" s="95"/>
      <c r="H800" s="96"/>
      <c r="I800" s="103"/>
      <c r="J800" s="104"/>
      <c r="K800" s="99">
        <f t="shared" si="12"/>
        <v>0</v>
      </c>
      <c r="M800" s="106"/>
    </row>
    <row r="801" spans="1:13" ht="15.6" x14ac:dyDescent="0.3">
      <c r="A801" s="107"/>
      <c r="B801" s="101"/>
      <c r="C801" s="102"/>
      <c r="D801" s="102"/>
      <c r="E801" s="95"/>
      <c r="H801" s="96"/>
      <c r="I801" s="96"/>
      <c r="J801" s="108"/>
      <c r="K801" s="99">
        <f t="shared" si="12"/>
        <v>0</v>
      </c>
      <c r="M801" s="106"/>
    </row>
    <row r="802" spans="1:13" ht="15.6" x14ac:dyDescent="0.3">
      <c r="A802" s="107"/>
      <c r="B802" s="101"/>
      <c r="C802" s="102"/>
      <c r="D802" s="102"/>
      <c r="E802" s="95"/>
      <c r="H802" s="96"/>
      <c r="I802" s="103"/>
      <c r="J802" s="104"/>
      <c r="K802" s="99">
        <f t="shared" si="12"/>
        <v>0</v>
      </c>
      <c r="M802" s="106"/>
    </row>
    <row r="803" spans="1:13" ht="15.6" x14ac:dyDescent="0.3">
      <c r="A803" s="107"/>
      <c r="B803" s="101"/>
      <c r="C803" s="102"/>
      <c r="D803" s="102"/>
      <c r="E803" s="95"/>
      <c r="H803" s="96"/>
      <c r="I803" s="103"/>
      <c r="J803" s="104"/>
      <c r="K803" s="99">
        <f t="shared" si="12"/>
        <v>0</v>
      </c>
      <c r="M803" s="106"/>
    </row>
    <row r="804" spans="1:13" ht="15.6" x14ac:dyDescent="0.3">
      <c r="A804" s="107"/>
      <c r="B804" s="101"/>
      <c r="C804" s="102"/>
      <c r="D804" s="102"/>
      <c r="E804" s="95"/>
      <c r="H804" s="96"/>
      <c r="I804" s="103"/>
      <c r="J804" s="104"/>
      <c r="K804" s="99">
        <f t="shared" si="12"/>
        <v>0</v>
      </c>
      <c r="M804" s="106"/>
    </row>
    <row r="805" spans="1:13" ht="15.6" x14ac:dyDescent="0.3">
      <c r="A805" s="107"/>
      <c r="B805" s="101"/>
      <c r="C805" s="102"/>
      <c r="D805" s="102"/>
      <c r="E805" s="95"/>
      <c r="H805" s="96"/>
      <c r="I805" s="103"/>
      <c r="J805" s="104"/>
      <c r="K805" s="99">
        <f t="shared" si="12"/>
        <v>0</v>
      </c>
      <c r="M805" s="106"/>
    </row>
    <row r="806" spans="1:13" ht="15.6" x14ac:dyDescent="0.3">
      <c r="A806" s="107"/>
      <c r="B806" s="101"/>
      <c r="C806" s="102"/>
      <c r="D806" s="102"/>
      <c r="E806" s="95"/>
      <c r="H806" s="96"/>
      <c r="I806" s="96"/>
      <c r="J806" s="108"/>
      <c r="K806" s="99">
        <f t="shared" si="12"/>
        <v>0</v>
      </c>
      <c r="M806" s="106"/>
    </row>
    <row r="807" spans="1:13" ht="15.6" x14ac:dyDescent="0.3">
      <c r="A807" s="107"/>
      <c r="B807" s="101"/>
      <c r="C807" s="102"/>
      <c r="D807" s="102"/>
      <c r="E807" s="95"/>
      <c r="H807" s="96"/>
      <c r="I807" s="103"/>
      <c r="J807" s="104"/>
      <c r="K807" s="99">
        <f t="shared" si="12"/>
        <v>0</v>
      </c>
      <c r="M807" s="106"/>
    </row>
    <row r="808" spans="1:13" ht="15.6" x14ac:dyDescent="0.3">
      <c r="A808" s="107"/>
      <c r="B808" s="101"/>
      <c r="C808" s="102"/>
      <c r="D808" s="102"/>
      <c r="E808" s="95"/>
      <c r="H808" s="96"/>
      <c r="I808" s="103"/>
      <c r="J808" s="104"/>
      <c r="K808" s="99">
        <f t="shared" si="12"/>
        <v>0</v>
      </c>
      <c r="M808" s="106"/>
    </row>
    <row r="809" spans="1:13" ht="15.6" x14ac:dyDescent="0.3">
      <c r="A809" s="107"/>
      <c r="B809" s="101"/>
      <c r="C809" s="102"/>
      <c r="D809" s="102"/>
      <c r="E809" s="95"/>
      <c r="H809" s="96"/>
      <c r="I809" s="103"/>
      <c r="J809" s="104"/>
      <c r="K809" s="99">
        <f t="shared" si="12"/>
        <v>0</v>
      </c>
      <c r="M809" s="106"/>
    </row>
    <row r="810" spans="1:13" ht="15.6" x14ac:dyDescent="0.3">
      <c r="A810" s="107"/>
      <c r="B810" s="101"/>
      <c r="C810" s="102"/>
      <c r="D810" s="102"/>
      <c r="E810" s="95"/>
      <c r="H810" s="96"/>
      <c r="I810" s="103"/>
      <c r="J810" s="104"/>
      <c r="K810" s="99">
        <f t="shared" si="12"/>
        <v>0</v>
      </c>
      <c r="M810" s="106"/>
    </row>
    <row r="811" spans="1:13" ht="15.6" x14ac:dyDescent="0.3">
      <c r="A811" s="107"/>
      <c r="B811" s="101"/>
      <c r="C811" s="102"/>
      <c r="D811" s="102"/>
      <c r="E811" s="95"/>
      <c r="H811" s="96"/>
      <c r="I811" s="96"/>
      <c r="J811" s="108"/>
      <c r="K811" s="99">
        <f t="shared" si="12"/>
        <v>0</v>
      </c>
      <c r="M811" s="106"/>
    </row>
    <row r="812" spans="1:13" ht="15.6" x14ac:dyDescent="0.3">
      <c r="A812" s="107"/>
      <c r="B812" s="101"/>
      <c r="C812" s="102"/>
      <c r="D812" s="102"/>
      <c r="E812" s="95"/>
      <c r="H812" s="96"/>
      <c r="I812" s="103"/>
      <c r="J812" s="104"/>
      <c r="K812" s="99">
        <f t="shared" si="12"/>
        <v>0</v>
      </c>
      <c r="M812" s="106"/>
    </row>
    <row r="813" spans="1:13" ht="15.6" x14ac:dyDescent="0.3">
      <c r="A813" s="107"/>
      <c r="B813" s="101"/>
      <c r="C813" s="102"/>
      <c r="D813" s="102"/>
      <c r="E813" s="95"/>
      <c r="H813" s="96"/>
      <c r="I813" s="103"/>
      <c r="J813" s="104"/>
      <c r="K813" s="99">
        <f t="shared" si="12"/>
        <v>0</v>
      </c>
      <c r="M813" s="106"/>
    </row>
    <row r="814" spans="1:13" ht="15.6" x14ac:dyDescent="0.3">
      <c r="A814" s="107"/>
      <c r="B814" s="101"/>
      <c r="C814" s="102"/>
      <c r="D814" s="102"/>
      <c r="E814" s="95"/>
      <c r="H814" s="96"/>
      <c r="I814" s="103"/>
      <c r="J814" s="104"/>
      <c r="K814" s="99">
        <f t="shared" si="12"/>
        <v>0</v>
      </c>
      <c r="M814" s="106"/>
    </row>
    <row r="815" spans="1:13" ht="15.6" x14ac:dyDescent="0.3">
      <c r="A815" s="107"/>
      <c r="B815" s="101"/>
      <c r="C815" s="102"/>
      <c r="D815" s="102"/>
      <c r="E815" s="95"/>
      <c r="H815" s="96"/>
      <c r="I815" s="103"/>
      <c r="J815" s="104"/>
      <c r="K815" s="99">
        <f t="shared" si="12"/>
        <v>0</v>
      </c>
      <c r="M815" s="106"/>
    </row>
    <row r="816" spans="1:13" ht="15.6" x14ac:dyDescent="0.3">
      <c r="A816" s="107"/>
      <c r="B816" s="101"/>
      <c r="C816" s="102"/>
      <c r="D816" s="102"/>
      <c r="E816" s="95"/>
      <c r="H816" s="96"/>
      <c r="I816" s="96"/>
      <c r="J816" s="108"/>
      <c r="K816" s="99">
        <f t="shared" si="12"/>
        <v>0</v>
      </c>
      <c r="M816" s="106"/>
    </row>
    <row r="817" spans="1:13" ht="15.6" x14ac:dyDescent="0.3">
      <c r="A817" s="107"/>
      <c r="B817" s="101"/>
      <c r="C817" s="102"/>
      <c r="D817" s="102"/>
      <c r="E817" s="95"/>
      <c r="H817" s="96"/>
      <c r="I817" s="103"/>
      <c r="J817" s="104"/>
      <c r="K817" s="99">
        <f t="shared" si="12"/>
        <v>0</v>
      </c>
      <c r="M817" s="106"/>
    </row>
    <row r="818" spans="1:13" ht="15.6" x14ac:dyDescent="0.3">
      <c r="A818" s="107"/>
      <c r="B818" s="101"/>
      <c r="C818" s="102"/>
      <c r="D818" s="102"/>
      <c r="E818" s="95"/>
      <c r="H818" s="96"/>
      <c r="I818" s="103"/>
      <c r="J818" s="104"/>
      <c r="K818" s="99">
        <f t="shared" si="12"/>
        <v>0</v>
      </c>
      <c r="M818" s="106"/>
    </row>
    <row r="819" spans="1:13" ht="15.6" x14ac:dyDescent="0.3">
      <c r="A819" s="107"/>
      <c r="B819" s="101"/>
      <c r="C819" s="102"/>
      <c r="D819" s="102"/>
      <c r="E819" s="95"/>
      <c r="H819" s="96"/>
      <c r="I819" s="103"/>
      <c r="J819" s="104"/>
      <c r="K819" s="99">
        <f t="shared" si="12"/>
        <v>0</v>
      </c>
      <c r="M819" s="106"/>
    </row>
    <row r="820" spans="1:13" ht="15.6" x14ac:dyDescent="0.3">
      <c r="A820" s="107"/>
      <c r="B820" s="101"/>
      <c r="C820" s="102"/>
      <c r="D820" s="102"/>
      <c r="E820" s="95"/>
      <c r="H820" s="96"/>
      <c r="I820" s="103"/>
      <c r="J820" s="104"/>
      <c r="K820" s="99">
        <f t="shared" si="12"/>
        <v>0</v>
      </c>
      <c r="M820" s="106"/>
    </row>
    <row r="821" spans="1:13" ht="15.6" x14ac:dyDescent="0.3">
      <c r="A821" s="107"/>
      <c r="B821" s="101"/>
      <c r="C821" s="102"/>
      <c r="D821" s="102"/>
      <c r="E821" s="95"/>
      <c r="H821" s="96"/>
      <c r="I821" s="96"/>
      <c r="J821" s="108"/>
      <c r="K821" s="99">
        <f t="shared" si="12"/>
        <v>0</v>
      </c>
      <c r="M821" s="106"/>
    </row>
    <row r="822" spans="1:13" ht="15.6" x14ac:dyDescent="0.3">
      <c r="A822" s="107"/>
      <c r="B822" s="101"/>
      <c r="C822" s="102"/>
      <c r="D822" s="102"/>
      <c r="E822" s="95"/>
      <c r="H822" s="96"/>
      <c r="I822" s="103"/>
      <c r="J822" s="104"/>
      <c r="K822" s="99">
        <f t="shared" si="12"/>
        <v>0</v>
      </c>
      <c r="M822" s="106"/>
    </row>
    <row r="823" spans="1:13" ht="15.6" x14ac:dyDescent="0.3">
      <c r="A823" s="107"/>
      <c r="B823" s="101"/>
      <c r="C823" s="102"/>
      <c r="D823" s="102"/>
      <c r="E823" s="95"/>
      <c r="H823" s="96"/>
      <c r="I823" s="103"/>
      <c r="J823" s="104"/>
      <c r="K823" s="99">
        <f t="shared" si="12"/>
        <v>0</v>
      </c>
      <c r="M823" s="106"/>
    </row>
    <row r="824" spans="1:13" ht="15.6" x14ac:dyDescent="0.3">
      <c r="A824" s="107"/>
      <c r="B824" s="101"/>
      <c r="C824" s="102"/>
      <c r="D824" s="102"/>
      <c r="E824" s="95"/>
      <c r="H824" s="96"/>
      <c r="I824" s="103"/>
      <c r="J824" s="104"/>
      <c r="K824" s="99">
        <f t="shared" si="12"/>
        <v>0</v>
      </c>
      <c r="M824" s="106"/>
    </row>
    <row r="825" spans="1:13" ht="15.6" x14ac:dyDescent="0.3">
      <c r="A825" s="107"/>
      <c r="B825" s="101"/>
      <c r="C825" s="102"/>
      <c r="D825" s="102"/>
      <c r="E825" s="95"/>
      <c r="H825" s="96"/>
      <c r="I825" s="103"/>
      <c r="J825" s="104"/>
      <c r="K825" s="99">
        <f t="shared" si="12"/>
        <v>0</v>
      </c>
      <c r="M825" s="106"/>
    </row>
    <row r="826" spans="1:13" ht="15.6" x14ac:dyDescent="0.3">
      <c r="A826" s="107"/>
      <c r="B826" s="101"/>
      <c r="C826" s="102"/>
      <c r="D826" s="102"/>
      <c r="E826" s="95"/>
      <c r="H826" s="96"/>
      <c r="I826" s="96"/>
      <c r="J826" s="108"/>
      <c r="K826" s="99">
        <f t="shared" si="12"/>
        <v>0</v>
      </c>
      <c r="M826" s="106"/>
    </row>
    <row r="827" spans="1:13" ht="15.6" x14ac:dyDescent="0.3">
      <c r="A827" s="107"/>
      <c r="B827" s="101"/>
      <c r="C827" s="102"/>
      <c r="D827" s="102"/>
      <c r="E827" s="95"/>
      <c r="H827" s="96"/>
      <c r="I827" s="103"/>
      <c r="J827" s="104"/>
      <c r="K827" s="99">
        <f t="shared" si="12"/>
        <v>0</v>
      </c>
      <c r="M827" s="106"/>
    </row>
    <row r="828" spans="1:13" ht="15.6" x14ac:dyDescent="0.3">
      <c r="A828" s="107"/>
      <c r="B828" s="101"/>
      <c r="C828" s="102"/>
      <c r="D828" s="102"/>
      <c r="E828" s="95"/>
      <c r="H828" s="96"/>
      <c r="I828" s="103"/>
      <c r="J828" s="104"/>
      <c r="K828" s="99">
        <f t="shared" si="12"/>
        <v>0</v>
      </c>
      <c r="M828" s="106"/>
    </row>
    <row r="829" spans="1:13" ht="15.6" x14ac:dyDescent="0.3">
      <c r="A829" s="107"/>
      <c r="B829" s="101"/>
      <c r="C829" s="102"/>
      <c r="D829" s="102"/>
      <c r="E829" s="95"/>
      <c r="H829" s="96"/>
      <c r="I829" s="103"/>
      <c r="J829" s="104"/>
      <c r="K829" s="99">
        <f t="shared" si="12"/>
        <v>0</v>
      </c>
      <c r="M829" s="106"/>
    </row>
    <row r="830" spans="1:13" ht="15.6" x14ac:dyDescent="0.3">
      <c r="A830" s="107"/>
      <c r="B830" s="101"/>
      <c r="C830" s="102"/>
      <c r="D830" s="102"/>
      <c r="E830" s="95"/>
      <c r="H830" s="96"/>
      <c r="I830" s="103"/>
      <c r="J830" s="104"/>
      <c r="K830" s="99">
        <f t="shared" si="12"/>
        <v>0</v>
      </c>
      <c r="M830" s="106"/>
    </row>
    <row r="831" spans="1:13" ht="15.6" x14ac:dyDescent="0.3">
      <c r="A831" s="100"/>
      <c r="B831" s="101"/>
      <c r="C831" s="102"/>
      <c r="D831" s="102"/>
      <c r="E831" s="95"/>
      <c r="H831" s="96"/>
      <c r="I831" s="103"/>
      <c r="J831" s="104"/>
      <c r="K831" s="99">
        <f t="shared" si="12"/>
        <v>0</v>
      </c>
      <c r="M831" s="106"/>
    </row>
    <row r="832" spans="1:13" ht="15.6" x14ac:dyDescent="0.3">
      <c r="A832" s="100"/>
      <c r="B832" s="101"/>
      <c r="C832" s="102"/>
      <c r="D832" s="102"/>
      <c r="E832" s="95"/>
      <c r="H832" s="96"/>
      <c r="I832" s="103"/>
      <c r="J832" s="104"/>
      <c r="K832" s="99">
        <f t="shared" si="12"/>
        <v>0</v>
      </c>
      <c r="M832" s="106"/>
    </row>
    <row r="833" spans="1:13" ht="15.6" x14ac:dyDescent="0.3">
      <c r="A833" s="100"/>
      <c r="B833" s="101"/>
      <c r="C833" s="102"/>
      <c r="D833" s="102"/>
      <c r="E833" s="95"/>
      <c r="H833" s="96"/>
      <c r="I833" s="103"/>
      <c r="J833" s="104"/>
      <c r="K833" s="99">
        <f t="shared" si="12"/>
        <v>0</v>
      </c>
      <c r="M833" s="106"/>
    </row>
    <row r="834" spans="1:13" ht="15.6" x14ac:dyDescent="0.3">
      <c r="A834" s="100"/>
      <c r="B834" s="101"/>
      <c r="C834" s="102"/>
      <c r="D834" s="102"/>
      <c r="E834" s="95"/>
      <c r="H834" s="96"/>
      <c r="I834" s="103"/>
      <c r="J834" s="104"/>
      <c r="K834" s="99">
        <f t="shared" si="12"/>
        <v>0</v>
      </c>
      <c r="M834" s="106"/>
    </row>
    <row r="835" spans="1:13" ht="15.6" x14ac:dyDescent="0.3">
      <c r="A835" s="107"/>
      <c r="B835" s="101"/>
      <c r="C835" s="102"/>
      <c r="D835" s="102"/>
      <c r="E835" s="95"/>
      <c r="H835" s="96"/>
      <c r="I835" s="96"/>
      <c r="J835" s="108"/>
      <c r="K835" s="99">
        <f t="shared" si="12"/>
        <v>0</v>
      </c>
      <c r="M835" s="106"/>
    </row>
    <row r="836" spans="1:13" ht="15.6" x14ac:dyDescent="0.3">
      <c r="A836" s="107"/>
      <c r="B836" s="101"/>
      <c r="C836" s="102"/>
      <c r="D836" s="102"/>
      <c r="E836" s="95"/>
      <c r="H836" s="96"/>
      <c r="I836" s="103"/>
      <c r="J836" s="104"/>
      <c r="K836" s="99">
        <f t="shared" si="12"/>
        <v>0</v>
      </c>
      <c r="M836" s="106"/>
    </row>
    <row r="837" spans="1:13" ht="15.6" x14ac:dyDescent="0.3">
      <c r="A837" s="107"/>
      <c r="B837" s="101"/>
      <c r="C837" s="102"/>
      <c r="D837" s="102"/>
      <c r="E837" s="95"/>
      <c r="H837" s="96"/>
      <c r="I837" s="103"/>
      <c r="J837" s="104"/>
      <c r="K837" s="99">
        <f t="shared" ref="K837:K900" si="13">IF(H837 ="x",IF(B837="Fotó", 1,IF(B837 = "2D grafika", 3, IF(B837 = "3D grafika", 8, IF(B837 ="2D animáció", IF(J837&lt;=10, 25, IF(J837&lt;=20, 28, IF(J837&lt;=30, 31, IF(J837&lt;=40, 34, IF(J837&lt;=50, 37, 37 + ROUNDUP((J837-50)/10, 0)*3))))),IF(B837="3D animáció", IF(J837&lt;=10, 40, IF(J837&lt;=20, 48, IF(J837&lt;=30, 56, IF(J837&lt;=40, 64, IF(J837&lt;=50, 72, 72 + ROUNDUP((J837-50)/10, 0)*8))))), IF(B837="Videó egyszereplős", ROUNDUP(J837/10,0)*2, IF(B837 ="Videó egyszereplős narrációval", ROUNDUP(J837/10,0)*3, IF(B837="Videó többszereplős", ROUNDUP(J837/10,0)*2, IF(B837 ="Videó többszereplős narrációval", ROUNDUP(J837/10,0)*4, IF(B837 ="Hangzóanyag", ROUNDUP(J837/10,0)*1, IF(B837="Interaktív animáció (szimuláció)",13,0))))))))))),0)</f>
        <v>0</v>
      </c>
      <c r="M837" s="106"/>
    </row>
    <row r="838" spans="1:13" ht="15.6" x14ac:dyDescent="0.3">
      <c r="A838" s="107"/>
      <c r="B838" s="101"/>
      <c r="C838" s="102"/>
      <c r="D838" s="102"/>
      <c r="E838" s="95"/>
      <c r="H838" s="96"/>
      <c r="I838" s="103"/>
      <c r="J838" s="104"/>
      <c r="K838" s="99">
        <f t="shared" si="13"/>
        <v>0</v>
      </c>
      <c r="M838" s="106"/>
    </row>
    <row r="839" spans="1:13" ht="15.6" x14ac:dyDescent="0.3">
      <c r="A839" s="107"/>
      <c r="B839" s="101"/>
      <c r="C839" s="102"/>
      <c r="D839" s="102"/>
      <c r="E839" s="95"/>
      <c r="H839" s="96"/>
      <c r="I839" s="103"/>
      <c r="J839" s="104"/>
      <c r="K839" s="99">
        <f t="shared" si="13"/>
        <v>0</v>
      </c>
      <c r="M839" s="106"/>
    </row>
    <row r="840" spans="1:13" ht="15.6" x14ac:dyDescent="0.3">
      <c r="A840" s="107"/>
      <c r="B840" s="101"/>
      <c r="C840" s="102"/>
      <c r="D840" s="102"/>
      <c r="E840" s="95"/>
      <c r="H840" s="96"/>
      <c r="I840" s="96"/>
      <c r="J840" s="108"/>
      <c r="K840" s="99">
        <f t="shared" si="13"/>
        <v>0</v>
      </c>
      <c r="M840" s="106"/>
    </row>
    <row r="841" spans="1:13" ht="15.6" x14ac:dyDescent="0.3">
      <c r="A841" s="107"/>
      <c r="B841" s="101"/>
      <c r="C841" s="102"/>
      <c r="D841" s="102"/>
      <c r="E841" s="95"/>
      <c r="H841" s="96"/>
      <c r="I841" s="103"/>
      <c r="J841" s="104"/>
      <c r="K841" s="99">
        <f t="shared" si="13"/>
        <v>0</v>
      </c>
      <c r="M841" s="106"/>
    </row>
    <row r="842" spans="1:13" ht="15.6" x14ac:dyDescent="0.3">
      <c r="A842" s="107"/>
      <c r="B842" s="101"/>
      <c r="C842" s="102"/>
      <c r="D842" s="102"/>
      <c r="E842" s="95"/>
      <c r="H842" s="96"/>
      <c r="I842" s="103"/>
      <c r="J842" s="104"/>
      <c r="K842" s="99">
        <f t="shared" si="13"/>
        <v>0</v>
      </c>
      <c r="M842" s="106"/>
    </row>
    <row r="843" spans="1:13" ht="15.6" x14ac:dyDescent="0.3">
      <c r="A843" s="107"/>
      <c r="B843" s="101"/>
      <c r="C843" s="102"/>
      <c r="D843" s="102"/>
      <c r="E843" s="95"/>
      <c r="H843" s="96"/>
      <c r="I843" s="103"/>
      <c r="J843" s="104"/>
      <c r="K843" s="99">
        <f t="shared" si="13"/>
        <v>0</v>
      </c>
      <c r="M843" s="106"/>
    </row>
    <row r="844" spans="1:13" ht="15.6" x14ac:dyDescent="0.3">
      <c r="A844" s="107"/>
      <c r="B844" s="101"/>
      <c r="C844" s="102"/>
      <c r="D844" s="102"/>
      <c r="E844" s="95"/>
      <c r="H844" s="96"/>
      <c r="I844" s="103"/>
      <c r="J844" s="104"/>
      <c r="K844" s="99">
        <f t="shared" si="13"/>
        <v>0</v>
      </c>
      <c r="M844" s="106"/>
    </row>
    <row r="845" spans="1:13" ht="15.6" x14ac:dyDescent="0.3">
      <c r="A845" s="107"/>
      <c r="B845" s="101"/>
      <c r="C845" s="102"/>
      <c r="D845" s="102"/>
      <c r="E845" s="95"/>
      <c r="H845" s="96"/>
      <c r="I845" s="96"/>
      <c r="J845" s="108"/>
      <c r="K845" s="99">
        <f t="shared" si="13"/>
        <v>0</v>
      </c>
      <c r="M845" s="106"/>
    </row>
    <row r="846" spans="1:13" ht="15.6" x14ac:dyDescent="0.3">
      <c r="A846" s="107"/>
      <c r="B846" s="101"/>
      <c r="C846" s="102"/>
      <c r="D846" s="102"/>
      <c r="E846" s="95"/>
      <c r="H846" s="96"/>
      <c r="I846" s="103"/>
      <c r="J846" s="104"/>
      <c r="K846" s="99">
        <f t="shared" si="13"/>
        <v>0</v>
      </c>
      <c r="M846" s="106"/>
    </row>
    <row r="847" spans="1:13" ht="15.6" x14ac:dyDescent="0.3">
      <c r="A847" s="107"/>
      <c r="B847" s="101"/>
      <c r="C847" s="102"/>
      <c r="D847" s="102"/>
      <c r="E847" s="95"/>
      <c r="H847" s="96"/>
      <c r="I847" s="103"/>
      <c r="J847" s="104"/>
      <c r="K847" s="99">
        <f t="shared" si="13"/>
        <v>0</v>
      </c>
      <c r="M847" s="106"/>
    </row>
    <row r="848" spans="1:13" ht="15.6" x14ac:dyDescent="0.3">
      <c r="A848" s="107"/>
      <c r="B848" s="101"/>
      <c r="C848" s="102"/>
      <c r="D848" s="102"/>
      <c r="E848" s="95"/>
      <c r="H848" s="96"/>
      <c r="I848" s="103"/>
      <c r="J848" s="104"/>
      <c r="K848" s="99">
        <f t="shared" si="13"/>
        <v>0</v>
      </c>
      <c r="M848" s="106"/>
    </row>
    <row r="849" spans="1:13" ht="15.6" x14ac:dyDescent="0.3">
      <c r="A849" s="107"/>
      <c r="B849" s="101"/>
      <c r="C849" s="102"/>
      <c r="D849" s="102"/>
      <c r="E849" s="95"/>
      <c r="H849" s="96"/>
      <c r="I849" s="103"/>
      <c r="J849" s="104"/>
      <c r="K849" s="99">
        <f t="shared" si="13"/>
        <v>0</v>
      </c>
      <c r="M849" s="106"/>
    </row>
    <row r="850" spans="1:13" ht="15.6" x14ac:dyDescent="0.3">
      <c r="A850" s="107"/>
      <c r="B850" s="101"/>
      <c r="C850" s="102"/>
      <c r="D850" s="102"/>
      <c r="E850" s="95"/>
      <c r="H850" s="96"/>
      <c r="I850" s="96"/>
      <c r="J850" s="108"/>
      <c r="K850" s="99">
        <f t="shared" si="13"/>
        <v>0</v>
      </c>
      <c r="M850" s="106"/>
    </row>
    <row r="851" spans="1:13" ht="15.6" x14ac:dyDescent="0.3">
      <c r="A851" s="107"/>
      <c r="B851" s="101"/>
      <c r="C851" s="102"/>
      <c r="D851" s="102"/>
      <c r="E851" s="95"/>
      <c r="H851" s="96"/>
      <c r="I851" s="103"/>
      <c r="J851" s="104"/>
      <c r="K851" s="99">
        <f t="shared" si="13"/>
        <v>0</v>
      </c>
      <c r="M851" s="106"/>
    </row>
    <row r="852" spans="1:13" ht="15.6" x14ac:dyDescent="0.3">
      <c r="A852" s="107"/>
      <c r="B852" s="101"/>
      <c r="C852" s="102"/>
      <c r="D852" s="102"/>
      <c r="E852" s="95"/>
      <c r="H852" s="96"/>
      <c r="I852" s="103"/>
      <c r="J852" s="104"/>
      <c r="K852" s="99">
        <f t="shared" si="13"/>
        <v>0</v>
      </c>
      <c r="M852" s="106"/>
    </row>
    <row r="853" spans="1:13" x14ac:dyDescent="0.3">
      <c r="A853" s="107"/>
      <c r="B853" s="101"/>
      <c r="C853" s="102"/>
      <c r="D853" s="102"/>
      <c r="E853" s="95"/>
      <c r="H853" s="96"/>
      <c r="I853" s="103"/>
      <c r="J853" s="104"/>
      <c r="K853" s="99">
        <f t="shared" si="13"/>
        <v>0</v>
      </c>
      <c r="M853" s="66"/>
    </row>
    <row r="854" spans="1:13" ht="15.6" x14ac:dyDescent="0.3">
      <c r="A854" s="107"/>
      <c r="B854" s="101"/>
      <c r="C854" s="102"/>
      <c r="D854" s="102"/>
      <c r="E854" s="95"/>
      <c r="H854" s="96"/>
      <c r="I854" s="103"/>
      <c r="J854" s="104"/>
      <c r="K854" s="99">
        <f t="shared" si="13"/>
        <v>0</v>
      </c>
      <c r="M854" s="106"/>
    </row>
    <row r="855" spans="1:13" ht="15.6" x14ac:dyDescent="0.3">
      <c r="A855" s="107"/>
      <c r="B855" s="101"/>
      <c r="C855" s="102"/>
      <c r="D855" s="102"/>
      <c r="E855" s="95"/>
      <c r="H855" s="96"/>
      <c r="I855" s="96"/>
      <c r="J855" s="108"/>
      <c r="K855" s="99">
        <f t="shared" si="13"/>
        <v>0</v>
      </c>
      <c r="M855" s="106"/>
    </row>
    <row r="856" spans="1:13" ht="15.6" x14ac:dyDescent="0.3">
      <c r="A856" s="107"/>
      <c r="B856" s="101"/>
      <c r="C856" s="102"/>
      <c r="D856" s="102"/>
      <c r="E856" s="95"/>
      <c r="H856" s="96"/>
      <c r="I856" s="103"/>
      <c r="J856" s="104"/>
      <c r="K856" s="99">
        <f t="shared" si="13"/>
        <v>0</v>
      </c>
      <c r="M856" s="106"/>
    </row>
    <row r="857" spans="1:13" ht="15.6" x14ac:dyDescent="0.3">
      <c r="A857" s="107"/>
      <c r="B857" s="101"/>
      <c r="C857" s="102"/>
      <c r="D857" s="102"/>
      <c r="E857" s="95"/>
      <c r="H857" s="96"/>
      <c r="I857" s="103"/>
      <c r="J857" s="104"/>
      <c r="K857" s="99">
        <f t="shared" si="13"/>
        <v>0</v>
      </c>
      <c r="M857" s="106"/>
    </row>
    <row r="858" spans="1:13" ht="15.6" x14ac:dyDescent="0.3">
      <c r="A858" s="107"/>
      <c r="B858" s="101"/>
      <c r="C858" s="102"/>
      <c r="D858" s="102"/>
      <c r="E858" s="95"/>
      <c r="H858" s="96"/>
      <c r="I858" s="103"/>
      <c r="J858" s="104"/>
      <c r="K858" s="99">
        <f t="shared" si="13"/>
        <v>0</v>
      </c>
      <c r="M858" s="106"/>
    </row>
    <row r="859" spans="1:13" ht="15.6" x14ac:dyDescent="0.3">
      <c r="A859" s="107"/>
      <c r="B859" s="101"/>
      <c r="C859" s="102"/>
      <c r="D859" s="102"/>
      <c r="E859" s="95"/>
      <c r="H859" s="96"/>
      <c r="I859" s="103"/>
      <c r="J859" s="104"/>
      <c r="K859" s="99">
        <f t="shared" si="13"/>
        <v>0</v>
      </c>
      <c r="M859" s="106"/>
    </row>
    <row r="860" spans="1:13" ht="15.6" x14ac:dyDescent="0.3">
      <c r="A860" s="107"/>
      <c r="B860" s="101"/>
      <c r="C860" s="102"/>
      <c r="D860" s="102"/>
      <c r="E860" s="95"/>
      <c r="H860" s="96"/>
      <c r="I860" s="96"/>
      <c r="J860" s="108"/>
      <c r="K860" s="99">
        <f t="shared" si="13"/>
        <v>0</v>
      </c>
      <c r="M860" s="106"/>
    </row>
    <row r="861" spans="1:13" ht="15.6" x14ac:dyDescent="0.3">
      <c r="A861" s="107"/>
      <c r="B861" s="101"/>
      <c r="C861" s="102"/>
      <c r="D861" s="102"/>
      <c r="E861" s="95"/>
      <c r="H861" s="96"/>
      <c r="I861" s="103"/>
      <c r="J861" s="104"/>
      <c r="K861" s="99">
        <f t="shared" si="13"/>
        <v>0</v>
      </c>
      <c r="M861" s="106"/>
    </row>
    <row r="862" spans="1:13" ht="15.6" x14ac:dyDescent="0.3">
      <c r="A862" s="107"/>
      <c r="B862" s="101"/>
      <c r="C862" s="102"/>
      <c r="D862" s="102"/>
      <c r="E862" s="95"/>
      <c r="H862" s="96"/>
      <c r="I862" s="103"/>
      <c r="J862" s="104"/>
      <c r="K862" s="99">
        <f t="shared" si="13"/>
        <v>0</v>
      </c>
      <c r="M862" s="106"/>
    </row>
    <row r="863" spans="1:13" ht="15.6" x14ac:dyDescent="0.3">
      <c r="A863" s="107"/>
      <c r="B863" s="101"/>
      <c r="C863" s="102"/>
      <c r="D863" s="102"/>
      <c r="E863" s="95"/>
      <c r="H863" s="96"/>
      <c r="I863" s="103"/>
      <c r="J863" s="104"/>
      <c r="K863" s="99">
        <f t="shared" si="13"/>
        <v>0</v>
      </c>
      <c r="M863" s="106"/>
    </row>
    <row r="864" spans="1:13" ht="15.6" x14ac:dyDescent="0.3">
      <c r="A864" s="107"/>
      <c r="B864" s="101"/>
      <c r="C864" s="102"/>
      <c r="D864" s="102"/>
      <c r="E864" s="95"/>
      <c r="H864" s="96"/>
      <c r="I864" s="103"/>
      <c r="J864" s="104"/>
      <c r="K864" s="99">
        <f t="shared" si="13"/>
        <v>0</v>
      </c>
      <c r="M864" s="106"/>
    </row>
    <row r="865" spans="1:13" ht="15.6" x14ac:dyDescent="0.3">
      <c r="A865" s="107"/>
      <c r="B865" s="101"/>
      <c r="C865" s="102"/>
      <c r="D865" s="102"/>
      <c r="E865" s="95"/>
      <c r="H865" s="96"/>
      <c r="I865" s="96"/>
      <c r="J865" s="108"/>
      <c r="K865" s="99">
        <f t="shared" si="13"/>
        <v>0</v>
      </c>
      <c r="M865" s="106"/>
    </row>
    <row r="866" spans="1:13" ht="15.6" x14ac:dyDescent="0.3">
      <c r="A866" s="107"/>
      <c r="B866" s="101"/>
      <c r="C866" s="102"/>
      <c r="D866" s="102"/>
      <c r="E866" s="95"/>
      <c r="H866" s="96"/>
      <c r="I866" s="103"/>
      <c r="J866" s="104"/>
      <c r="K866" s="99">
        <f t="shared" si="13"/>
        <v>0</v>
      </c>
      <c r="M866" s="106"/>
    </row>
    <row r="867" spans="1:13" ht="15.6" x14ac:dyDescent="0.3">
      <c r="A867" s="107"/>
      <c r="B867" s="101"/>
      <c r="C867" s="102"/>
      <c r="D867" s="102"/>
      <c r="E867" s="95"/>
      <c r="H867" s="96"/>
      <c r="I867" s="103"/>
      <c r="J867" s="104"/>
      <c r="K867" s="99">
        <f t="shared" si="13"/>
        <v>0</v>
      </c>
      <c r="M867" s="106"/>
    </row>
    <row r="868" spans="1:13" ht="15.6" x14ac:dyDescent="0.3">
      <c r="A868" s="107"/>
      <c r="B868" s="101"/>
      <c r="C868" s="102"/>
      <c r="D868" s="102"/>
      <c r="E868" s="95"/>
      <c r="H868" s="96"/>
      <c r="I868" s="103"/>
      <c r="J868" s="104"/>
      <c r="K868" s="99">
        <f t="shared" si="13"/>
        <v>0</v>
      </c>
      <c r="M868" s="106"/>
    </row>
    <row r="869" spans="1:13" ht="15.6" x14ac:dyDescent="0.3">
      <c r="A869" s="107"/>
      <c r="B869" s="101"/>
      <c r="C869" s="102"/>
      <c r="D869" s="102"/>
      <c r="E869" s="95"/>
      <c r="H869" s="96"/>
      <c r="I869" s="103"/>
      <c r="J869" s="104"/>
      <c r="K869" s="99">
        <f t="shared" si="13"/>
        <v>0</v>
      </c>
      <c r="M869" s="106"/>
    </row>
    <row r="870" spans="1:13" ht="15.6" x14ac:dyDescent="0.3">
      <c r="A870" s="107"/>
      <c r="B870" s="101"/>
      <c r="C870" s="102"/>
      <c r="D870" s="102"/>
      <c r="E870" s="95"/>
      <c r="H870" s="96"/>
      <c r="I870" s="96"/>
      <c r="J870" s="108"/>
      <c r="K870" s="99">
        <f t="shared" si="13"/>
        <v>0</v>
      </c>
      <c r="M870" s="106"/>
    </row>
    <row r="871" spans="1:13" ht="15.6" x14ac:dyDescent="0.3">
      <c r="A871" s="107"/>
      <c r="B871" s="101"/>
      <c r="C871" s="102"/>
      <c r="D871" s="102"/>
      <c r="E871" s="95"/>
      <c r="H871" s="96"/>
      <c r="I871" s="103"/>
      <c r="J871" s="104"/>
      <c r="K871" s="99">
        <f t="shared" si="13"/>
        <v>0</v>
      </c>
      <c r="M871" s="106"/>
    </row>
    <row r="872" spans="1:13" ht="15.6" x14ac:dyDescent="0.3">
      <c r="A872" s="107"/>
      <c r="B872" s="101"/>
      <c r="C872" s="102"/>
      <c r="D872" s="102"/>
      <c r="E872" s="95"/>
      <c r="H872" s="96"/>
      <c r="I872" s="103"/>
      <c r="J872" s="104"/>
      <c r="K872" s="99">
        <f t="shared" si="13"/>
        <v>0</v>
      </c>
      <c r="M872" s="106"/>
    </row>
    <row r="873" spans="1:13" ht="15.6" x14ac:dyDescent="0.3">
      <c r="A873" s="107"/>
      <c r="B873" s="101"/>
      <c r="C873" s="102"/>
      <c r="D873" s="102"/>
      <c r="E873" s="95"/>
      <c r="H873" s="96"/>
      <c r="I873" s="103"/>
      <c r="J873" s="104"/>
      <c r="K873" s="99">
        <f t="shared" si="13"/>
        <v>0</v>
      </c>
      <c r="M873" s="106"/>
    </row>
    <row r="874" spans="1:13" ht="15.6" x14ac:dyDescent="0.3">
      <c r="A874" s="107"/>
      <c r="B874" s="101"/>
      <c r="C874" s="102"/>
      <c r="D874" s="102"/>
      <c r="E874" s="95"/>
      <c r="H874" s="96"/>
      <c r="I874" s="103"/>
      <c r="J874" s="104"/>
      <c r="K874" s="99">
        <f t="shared" si="13"/>
        <v>0</v>
      </c>
      <c r="M874" s="106"/>
    </row>
    <row r="875" spans="1:13" ht="15.6" x14ac:dyDescent="0.3">
      <c r="A875" s="107"/>
      <c r="B875" s="101"/>
      <c r="C875" s="102"/>
      <c r="D875" s="102"/>
      <c r="E875" s="95"/>
      <c r="H875" s="96"/>
      <c r="I875" s="96"/>
      <c r="J875" s="108"/>
      <c r="K875" s="99">
        <f t="shared" si="13"/>
        <v>0</v>
      </c>
      <c r="M875" s="106"/>
    </row>
    <row r="876" spans="1:13" ht="15.6" x14ac:dyDescent="0.3">
      <c r="A876" s="107"/>
      <c r="B876" s="101"/>
      <c r="C876" s="102"/>
      <c r="D876" s="102"/>
      <c r="E876" s="95"/>
      <c r="H876" s="96"/>
      <c r="I876" s="103"/>
      <c r="J876" s="104"/>
      <c r="K876" s="99">
        <f t="shared" si="13"/>
        <v>0</v>
      </c>
      <c r="M876" s="106"/>
    </row>
    <row r="877" spans="1:13" ht="15.6" x14ac:dyDescent="0.3">
      <c r="A877" s="107"/>
      <c r="B877" s="101"/>
      <c r="C877" s="102"/>
      <c r="D877" s="102"/>
      <c r="E877" s="95"/>
      <c r="H877" s="96"/>
      <c r="I877" s="103"/>
      <c r="J877" s="104"/>
      <c r="K877" s="99">
        <f t="shared" si="13"/>
        <v>0</v>
      </c>
      <c r="M877" s="106"/>
    </row>
    <row r="878" spans="1:13" ht="15.6" x14ac:dyDescent="0.3">
      <c r="A878" s="107"/>
      <c r="B878" s="101"/>
      <c r="C878" s="102"/>
      <c r="D878" s="102"/>
      <c r="E878" s="95"/>
      <c r="H878" s="96"/>
      <c r="I878" s="103"/>
      <c r="J878" s="104"/>
      <c r="K878" s="99">
        <f t="shared" si="13"/>
        <v>0</v>
      </c>
      <c r="M878" s="106"/>
    </row>
    <row r="879" spans="1:13" ht="15.6" x14ac:dyDescent="0.3">
      <c r="A879" s="107"/>
      <c r="B879" s="101"/>
      <c r="C879" s="102"/>
      <c r="D879" s="102"/>
      <c r="E879" s="95"/>
      <c r="H879" s="96"/>
      <c r="I879" s="103"/>
      <c r="J879" s="104"/>
      <c r="K879" s="99">
        <f t="shared" si="13"/>
        <v>0</v>
      </c>
      <c r="M879" s="106"/>
    </row>
    <row r="880" spans="1:13" ht="15.6" x14ac:dyDescent="0.3">
      <c r="A880" s="107"/>
      <c r="B880" s="101"/>
      <c r="C880" s="102"/>
      <c r="D880" s="102"/>
      <c r="E880" s="95"/>
      <c r="H880" s="96"/>
      <c r="I880" s="96"/>
      <c r="J880" s="108"/>
      <c r="K880" s="99">
        <f t="shared" si="13"/>
        <v>0</v>
      </c>
      <c r="M880" s="106"/>
    </row>
    <row r="881" spans="1:13" ht="15.6" x14ac:dyDescent="0.3">
      <c r="A881" s="107"/>
      <c r="B881" s="101"/>
      <c r="C881" s="102"/>
      <c r="D881" s="102"/>
      <c r="E881" s="95"/>
      <c r="H881" s="96"/>
      <c r="I881" s="103"/>
      <c r="J881" s="104"/>
      <c r="K881" s="99">
        <f t="shared" si="13"/>
        <v>0</v>
      </c>
      <c r="M881" s="106"/>
    </row>
    <row r="882" spans="1:13" ht="15.6" x14ac:dyDescent="0.3">
      <c r="A882" s="107"/>
      <c r="B882" s="101"/>
      <c r="C882" s="102"/>
      <c r="D882" s="102"/>
      <c r="E882" s="95"/>
      <c r="H882" s="96"/>
      <c r="I882" s="103"/>
      <c r="J882" s="104"/>
      <c r="K882" s="99">
        <f t="shared" si="13"/>
        <v>0</v>
      </c>
      <c r="M882" s="106"/>
    </row>
    <row r="883" spans="1:13" ht="15.6" x14ac:dyDescent="0.3">
      <c r="A883" s="107"/>
      <c r="B883" s="101"/>
      <c r="C883" s="102"/>
      <c r="D883" s="102"/>
      <c r="E883" s="95"/>
      <c r="H883" s="96"/>
      <c r="I883" s="103"/>
      <c r="J883" s="104"/>
      <c r="K883" s="99">
        <f t="shared" si="13"/>
        <v>0</v>
      </c>
      <c r="M883" s="106"/>
    </row>
    <row r="884" spans="1:13" ht="15.6" x14ac:dyDescent="0.3">
      <c r="A884" s="107"/>
      <c r="B884" s="101"/>
      <c r="C884" s="102"/>
      <c r="D884" s="102"/>
      <c r="E884" s="95"/>
      <c r="H884" s="96"/>
      <c r="I884" s="103"/>
      <c r="J884" s="104"/>
      <c r="K884" s="99">
        <f t="shared" si="13"/>
        <v>0</v>
      </c>
      <c r="M884" s="106"/>
    </row>
    <row r="885" spans="1:13" ht="15.6" x14ac:dyDescent="0.3">
      <c r="A885" s="107"/>
      <c r="B885" s="101"/>
      <c r="C885" s="102"/>
      <c r="D885" s="102"/>
      <c r="E885" s="95"/>
      <c r="H885" s="96"/>
      <c r="I885" s="96"/>
      <c r="J885" s="108"/>
      <c r="K885" s="99">
        <f t="shared" si="13"/>
        <v>0</v>
      </c>
      <c r="M885" s="106"/>
    </row>
    <row r="886" spans="1:13" ht="15.6" x14ac:dyDescent="0.3">
      <c r="A886" s="107"/>
      <c r="B886" s="101"/>
      <c r="C886" s="102"/>
      <c r="D886" s="102"/>
      <c r="E886" s="95"/>
      <c r="H886" s="96"/>
      <c r="I886" s="103"/>
      <c r="J886" s="104"/>
      <c r="K886" s="99">
        <f t="shared" si="13"/>
        <v>0</v>
      </c>
      <c r="M886" s="106"/>
    </row>
    <row r="887" spans="1:13" ht="15.6" x14ac:dyDescent="0.3">
      <c r="A887" s="107"/>
      <c r="B887" s="101"/>
      <c r="C887" s="102"/>
      <c r="D887" s="102"/>
      <c r="E887" s="95"/>
      <c r="H887" s="96"/>
      <c r="I887" s="103"/>
      <c r="J887" s="104"/>
      <c r="K887" s="99">
        <f t="shared" si="13"/>
        <v>0</v>
      </c>
      <c r="M887" s="106"/>
    </row>
    <row r="888" spans="1:13" ht="15.6" x14ac:dyDescent="0.3">
      <c r="A888" s="107"/>
      <c r="B888" s="101"/>
      <c r="C888" s="102"/>
      <c r="D888" s="102"/>
      <c r="E888" s="95"/>
      <c r="H888" s="96"/>
      <c r="I888" s="103"/>
      <c r="J888" s="104"/>
      <c r="K888" s="99">
        <f t="shared" si="13"/>
        <v>0</v>
      </c>
      <c r="M888" s="106"/>
    </row>
    <row r="889" spans="1:13" ht="15.6" x14ac:dyDescent="0.3">
      <c r="A889" s="107"/>
      <c r="B889" s="101"/>
      <c r="C889" s="102"/>
      <c r="D889" s="102"/>
      <c r="E889" s="95"/>
      <c r="H889" s="96"/>
      <c r="I889" s="103"/>
      <c r="J889" s="104"/>
      <c r="K889" s="99">
        <f t="shared" si="13"/>
        <v>0</v>
      </c>
      <c r="M889" s="106"/>
    </row>
    <row r="890" spans="1:13" ht="15.6" x14ac:dyDescent="0.3">
      <c r="A890" s="100"/>
      <c r="B890" s="101"/>
      <c r="C890" s="102"/>
      <c r="D890" s="102"/>
      <c r="E890" s="95"/>
      <c r="H890" s="96"/>
      <c r="I890" s="103"/>
      <c r="J890" s="104"/>
      <c r="K890" s="99">
        <f t="shared" si="13"/>
        <v>0</v>
      </c>
      <c r="M890" s="106"/>
    </row>
    <row r="891" spans="1:13" ht="15.6" x14ac:dyDescent="0.3">
      <c r="A891" s="100"/>
      <c r="B891" s="101"/>
      <c r="C891" s="102"/>
      <c r="D891" s="102"/>
      <c r="E891" s="95"/>
      <c r="H891" s="96"/>
      <c r="I891" s="103"/>
      <c r="J891" s="104"/>
      <c r="K891" s="99">
        <f t="shared" si="13"/>
        <v>0</v>
      </c>
      <c r="M891" s="106"/>
    </row>
    <row r="892" spans="1:13" ht="15.6" x14ac:dyDescent="0.3">
      <c r="A892" s="100"/>
      <c r="B892" s="101"/>
      <c r="C892" s="102"/>
      <c r="D892" s="102"/>
      <c r="E892" s="95"/>
      <c r="H892" s="96"/>
      <c r="I892" s="103"/>
      <c r="J892" s="104"/>
      <c r="K892" s="99">
        <f t="shared" si="13"/>
        <v>0</v>
      </c>
      <c r="M892" s="106"/>
    </row>
    <row r="893" spans="1:13" ht="15.6" x14ac:dyDescent="0.3">
      <c r="A893" s="100"/>
      <c r="B893" s="101"/>
      <c r="C893" s="102"/>
      <c r="D893" s="102"/>
      <c r="E893" s="95"/>
      <c r="H893" s="96"/>
      <c r="I893" s="103"/>
      <c r="J893" s="104"/>
      <c r="K893" s="99">
        <f t="shared" si="13"/>
        <v>0</v>
      </c>
      <c r="M893" s="106"/>
    </row>
    <row r="894" spans="1:13" ht="15.6" x14ac:dyDescent="0.3">
      <c r="A894" s="107"/>
      <c r="B894" s="101"/>
      <c r="C894" s="102"/>
      <c r="D894" s="102"/>
      <c r="E894" s="95"/>
      <c r="H894" s="96"/>
      <c r="I894" s="96"/>
      <c r="J894" s="108"/>
      <c r="K894" s="99">
        <f t="shared" si="13"/>
        <v>0</v>
      </c>
      <c r="M894" s="106"/>
    </row>
    <row r="895" spans="1:13" ht="15.6" x14ac:dyDescent="0.3">
      <c r="A895" s="107"/>
      <c r="B895" s="101"/>
      <c r="C895" s="102"/>
      <c r="D895" s="102"/>
      <c r="E895" s="95"/>
      <c r="H895" s="96"/>
      <c r="I895" s="103"/>
      <c r="J895" s="104"/>
      <c r="K895" s="99">
        <f t="shared" si="13"/>
        <v>0</v>
      </c>
      <c r="M895" s="106"/>
    </row>
    <row r="896" spans="1:13" ht="15.6" x14ac:dyDescent="0.3">
      <c r="A896" s="107"/>
      <c r="B896" s="101"/>
      <c r="C896" s="102"/>
      <c r="D896" s="102"/>
      <c r="E896" s="95"/>
      <c r="H896" s="96"/>
      <c r="I896" s="103"/>
      <c r="J896" s="104"/>
      <c r="K896" s="99">
        <f t="shared" si="13"/>
        <v>0</v>
      </c>
      <c r="M896" s="106"/>
    </row>
    <row r="897" spans="1:13" ht="15.6" x14ac:dyDescent="0.3">
      <c r="A897" s="107"/>
      <c r="B897" s="101"/>
      <c r="C897" s="102"/>
      <c r="D897" s="102"/>
      <c r="E897" s="95"/>
      <c r="H897" s="96"/>
      <c r="I897" s="103"/>
      <c r="J897" s="104"/>
      <c r="K897" s="99">
        <f t="shared" si="13"/>
        <v>0</v>
      </c>
      <c r="M897" s="106"/>
    </row>
    <row r="898" spans="1:13" ht="15.6" x14ac:dyDescent="0.3">
      <c r="A898" s="107"/>
      <c r="B898" s="101"/>
      <c r="C898" s="102"/>
      <c r="D898" s="102"/>
      <c r="E898" s="95"/>
      <c r="H898" s="96"/>
      <c r="I898" s="103"/>
      <c r="J898" s="104"/>
      <c r="K898" s="99">
        <f t="shared" si="13"/>
        <v>0</v>
      </c>
      <c r="M898" s="106"/>
    </row>
    <row r="899" spans="1:13" ht="15.6" x14ac:dyDescent="0.3">
      <c r="A899" s="107"/>
      <c r="B899" s="101"/>
      <c r="C899" s="102"/>
      <c r="D899" s="102"/>
      <c r="E899" s="95"/>
      <c r="H899" s="96"/>
      <c r="I899" s="96"/>
      <c r="J899" s="108"/>
      <c r="K899" s="99">
        <f t="shared" si="13"/>
        <v>0</v>
      </c>
      <c r="M899" s="106"/>
    </row>
    <row r="900" spans="1:13" ht="15.6" x14ac:dyDescent="0.3">
      <c r="A900" s="107"/>
      <c r="B900" s="101"/>
      <c r="C900" s="102"/>
      <c r="D900" s="102"/>
      <c r="E900" s="95"/>
      <c r="H900" s="96"/>
      <c r="I900" s="103"/>
      <c r="J900" s="104"/>
      <c r="K900" s="99">
        <f t="shared" si="13"/>
        <v>0</v>
      </c>
      <c r="M900" s="106"/>
    </row>
    <row r="901" spans="1:13" ht="15.6" x14ac:dyDescent="0.3">
      <c r="A901" s="107"/>
      <c r="B901" s="101"/>
      <c r="C901" s="102"/>
      <c r="D901" s="102"/>
      <c r="E901" s="95"/>
      <c r="H901" s="96"/>
      <c r="I901" s="103"/>
      <c r="J901" s="104"/>
      <c r="K901" s="99">
        <f t="shared" ref="K901:K949" si="14">IF(H901 ="x",IF(B901="Fotó", 1,IF(B901 = "2D grafika", 3, IF(B901 = "3D grafika", 8, IF(B901 ="2D animáció", IF(J901&lt;=10, 25, IF(J901&lt;=20, 28, IF(J901&lt;=30, 31, IF(J901&lt;=40, 34, IF(J901&lt;=50, 37, 37 + ROUNDUP((J901-50)/10, 0)*3))))),IF(B901="3D animáció", IF(J901&lt;=10, 40, IF(J901&lt;=20, 48, IF(J901&lt;=30, 56, IF(J901&lt;=40, 64, IF(J901&lt;=50, 72, 72 + ROUNDUP((J901-50)/10, 0)*8))))), IF(B901="Videó egyszereplős", ROUNDUP(J901/10,0)*2, IF(B901 ="Videó egyszereplős narrációval", ROUNDUP(J901/10,0)*3, IF(B901="Videó többszereplős", ROUNDUP(J901/10,0)*2, IF(B901 ="Videó többszereplős narrációval", ROUNDUP(J901/10,0)*4, IF(B901 ="Hangzóanyag", ROUNDUP(J901/10,0)*1, IF(B901="Interaktív animáció (szimuláció)",13,0))))))))))),0)</f>
        <v>0</v>
      </c>
      <c r="M901" s="106"/>
    </row>
    <row r="902" spans="1:13" ht="15.6" x14ac:dyDescent="0.3">
      <c r="A902" s="107"/>
      <c r="B902" s="101"/>
      <c r="C902" s="102"/>
      <c r="D902" s="102"/>
      <c r="E902" s="95"/>
      <c r="H902" s="96"/>
      <c r="I902" s="103"/>
      <c r="J902" s="104"/>
      <c r="K902" s="99">
        <f t="shared" si="14"/>
        <v>0</v>
      </c>
      <c r="M902" s="106"/>
    </row>
    <row r="903" spans="1:13" ht="15.6" x14ac:dyDescent="0.3">
      <c r="A903" s="107"/>
      <c r="B903" s="101"/>
      <c r="C903" s="102"/>
      <c r="D903" s="102"/>
      <c r="E903" s="95"/>
      <c r="H903" s="96"/>
      <c r="I903" s="103"/>
      <c r="J903" s="104"/>
      <c r="K903" s="99">
        <f t="shared" si="14"/>
        <v>0</v>
      </c>
      <c r="M903" s="106"/>
    </row>
    <row r="904" spans="1:13" ht="15.6" x14ac:dyDescent="0.3">
      <c r="A904" s="107"/>
      <c r="B904" s="101"/>
      <c r="C904" s="102"/>
      <c r="D904" s="102"/>
      <c r="E904" s="95"/>
      <c r="H904" s="96"/>
      <c r="I904" s="96"/>
      <c r="J904" s="108"/>
      <c r="K904" s="99">
        <f t="shared" si="14"/>
        <v>0</v>
      </c>
      <c r="M904" s="106"/>
    </row>
    <row r="905" spans="1:13" ht="15.6" x14ac:dyDescent="0.3">
      <c r="A905" s="107"/>
      <c r="B905" s="101"/>
      <c r="C905" s="102"/>
      <c r="D905" s="102"/>
      <c r="E905" s="95"/>
      <c r="H905" s="96"/>
      <c r="I905" s="103"/>
      <c r="J905" s="104"/>
      <c r="K905" s="99">
        <f t="shared" si="14"/>
        <v>0</v>
      </c>
      <c r="M905" s="106"/>
    </row>
    <row r="906" spans="1:13" ht="15.6" x14ac:dyDescent="0.3">
      <c r="A906" s="107"/>
      <c r="B906" s="101"/>
      <c r="C906" s="102"/>
      <c r="D906" s="102"/>
      <c r="E906" s="95"/>
      <c r="H906" s="96"/>
      <c r="I906" s="103"/>
      <c r="J906" s="104"/>
      <c r="K906" s="99">
        <f t="shared" si="14"/>
        <v>0</v>
      </c>
      <c r="M906" s="106"/>
    </row>
    <row r="907" spans="1:13" ht="15.6" x14ac:dyDescent="0.3">
      <c r="A907" s="107"/>
      <c r="B907" s="101"/>
      <c r="C907" s="102"/>
      <c r="D907" s="102"/>
      <c r="E907" s="95"/>
      <c r="H907" s="96"/>
      <c r="I907" s="103"/>
      <c r="J907" s="104"/>
      <c r="K907" s="99">
        <f t="shared" si="14"/>
        <v>0</v>
      </c>
      <c r="M907" s="106"/>
    </row>
    <row r="908" spans="1:13" ht="15.6" x14ac:dyDescent="0.3">
      <c r="A908" s="107"/>
      <c r="B908" s="101"/>
      <c r="C908" s="102"/>
      <c r="D908" s="102"/>
      <c r="E908" s="95"/>
      <c r="H908" s="96"/>
      <c r="I908" s="103"/>
      <c r="J908" s="104"/>
      <c r="K908" s="99">
        <f t="shared" si="14"/>
        <v>0</v>
      </c>
      <c r="M908" s="106"/>
    </row>
    <row r="909" spans="1:13" ht="15.6" x14ac:dyDescent="0.3">
      <c r="A909" s="107"/>
      <c r="B909" s="101"/>
      <c r="C909" s="102"/>
      <c r="D909" s="102"/>
      <c r="E909" s="95"/>
      <c r="H909" s="96"/>
      <c r="I909" s="96"/>
      <c r="J909" s="108"/>
      <c r="K909" s="99">
        <f t="shared" si="14"/>
        <v>0</v>
      </c>
      <c r="M909" s="106"/>
    </row>
    <row r="910" spans="1:13" ht="15.6" x14ac:dyDescent="0.3">
      <c r="A910" s="107"/>
      <c r="B910" s="101"/>
      <c r="C910" s="102"/>
      <c r="D910" s="102"/>
      <c r="E910" s="95"/>
      <c r="H910" s="96"/>
      <c r="I910" s="103"/>
      <c r="J910" s="104"/>
      <c r="K910" s="99">
        <f t="shared" si="14"/>
        <v>0</v>
      </c>
      <c r="M910" s="106"/>
    </row>
    <row r="911" spans="1:13" ht="15.6" x14ac:dyDescent="0.3">
      <c r="A911" s="107"/>
      <c r="B911" s="101"/>
      <c r="C911" s="102"/>
      <c r="D911" s="102"/>
      <c r="E911" s="95"/>
      <c r="H911" s="96"/>
      <c r="I911" s="103"/>
      <c r="J911" s="104"/>
      <c r="K911" s="99">
        <f t="shared" si="14"/>
        <v>0</v>
      </c>
      <c r="M911" s="106"/>
    </row>
    <row r="912" spans="1:13" x14ac:dyDescent="0.3">
      <c r="A912" s="107"/>
      <c r="B912" s="101"/>
      <c r="C912" s="102"/>
      <c r="D912" s="102"/>
      <c r="E912" s="95"/>
      <c r="H912" s="96"/>
      <c r="I912" s="103"/>
      <c r="J912" s="104"/>
      <c r="K912" s="99">
        <f t="shared" si="14"/>
        <v>0</v>
      </c>
      <c r="M912" s="66"/>
    </row>
    <row r="913" spans="1:13" ht="15.6" x14ac:dyDescent="0.3">
      <c r="A913" s="107"/>
      <c r="B913" s="101"/>
      <c r="C913" s="102"/>
      <c r="D913" s="102"/>
      <c r="E913" s="95"/>
      <c r="H913" s="96"/>
      <c r="I913" s="103"/>
      <c r="J913" s="104"/>
      <c r="K913" s="99">
        <f t="shared" si="14"/>
        <v>0</v>
      </c>
      <c r="M913" s="106"/>
    </row>
    <row r="914" spans="1:13" ht="15.6" x14ac:dyDescent="0.3">
      <c r="A914" s="107"/>
      <c r="B914" s="101"/>
      <c r="C914" s="102"/>
      <c r="D914" s="102"/>
      <c r="E914" s="95"/>
      <c r="H914" s="96"/>
      <c r="I914" s="96"/>
      <c r="J914" s="108"/>
      <c r="K914" s="99">
        <f t="shared" si="14"/>
        <v>0</v>
      </c>
      <c r="M914" s="106"/>
    </row>
    <row r="915" spans="1:13" ht="15.6" x14ac:dyDescent="0.3">
      <c r="A915" s="107"/>
      <c r="B915" s="101"/>
      <c r="C915" s="102"/>
      <c r="D915" s="102"/>
      <c r="E915" s="95"/>
      <c r="H915" s="96"/>
      <c r="I915" s="103"/>
      <c r="J915" s="104"/>
      <c r="K915" s="99">
        <f t="shared" si="14"/>
        <v>0</v>
      </c>
      <c r="M915" s="106"/>
    </row>
    <row r="916" spans="1:13" ht="15.6" x14ac:dyDescent="0.3">
      <c r="A916" s="107"/>
      <c r="B916" s="101"/>
      <c r="C916" s="102"/>
      <c r="D916" s="102"/>
      <c r="E916" s="95"/>
      <c r="H916" s="96"/>
      <c r="I916" s="103"/>
      <c r="J916" s="104"/>
      <c r="K916" s="99">
        <f t="shared" si="14"/>
        <v>0</v>
      </c>
      <c r="M916" s="106"/>
    </row>
    <row r="917" spans="1:13" ht="15.6" x14ac:dyDescent="0.3">
      <c r="A917" s="107"/>
      <c r="B917" s="101"/>
      <c r="C917" s="102"/>
      <c r="D917" s="102"/>
      <c r="E917" s="95"/>
      <c r="H917" s="96"/>
      <c r="I917" s="103"/>
      <c r="J917" s="104"/>
      <c r="K917" s="99">
        <f t="shared" si="14"/>
        <v>0</v>
      </c>
      <c r="M917" s="106"/>
    </row>
    <row r="918" spans="1:13" ht="15.6" x14ac:dyDescent="0.3">
      <c r="A918" s="107"/>
      <c r="B918" s="101"/>
      <c r="C918" s="102"/>
      <c r="D918" s="102"/>
      <c r="E918" s="95"/>
      <c r="H918" s="96"/>
      <c r="I918" s="103"/>
      <c r="J918" s="104"/>
      <c r="K918" s="99">
        <f t="shared" si="14"/>
        <v>0</v>
      </c>
      <c r="M918" s="106"/>
    </row>
    <row r="919" spans="1:13" ht="15.6" x14ac:dyDescent="0.3">
      <c r="A919" s="107"/>
      <c r="B919" s="101"/>
      <c r="C919" s="102"/>
      <c r="D919" s="102"/>
      <c r="E919" s="95"/>
      <c r="H919" s="96"/>
      <c r="I919" s="96"/>
      <c r="J919" s="108"/>
      <c r="K919" s="99">
        <f t="shared" si="14"/>
        <v>0</v>
      </c>
      <c r="M919" s="106"/>
    </row>
    <row r="920" spans="1:13" ht="15.6" x14ac:dyDescent="0.3">
      <c r="A920" s="107"/>
      <c r="B920" s="101"/>
      <c r="C920" s="102"/>
      <c r="D920" s="102"/>
      <c r="E920" s="95"/>
      <c r="H920" s="96"/>
      <c r="I920" s="103"/>
      <c r="J920" s="104"/>
      <c r="K920" s="99">
        <f t="shared" si="14"/>
        <v>0</v>
      </c>
      <c r="M920" s="106"/>
    </row>
    <row r="921" spans="1:13" ht="15.6" x14ac:dyDescent="0.3">
      <c r="A921" s="107"/>
      <c r="B921" s="101"/>
      <c r="C921" s="102"/>
      <c r="D921" s="102"/>
      <c r="E921" s="95"/>
      <c r="H921" s="96"/>
      <c r="I921" s="103"/>
      <c r="J921" s="104"/>
      <c r="K921" s="99">
        <f t="shared" si="14"/>
        <v>0</v>
      </c>
      <c r="M921" s="106"/>
    </row>
    <row r="922" spans="1:13" ht="15.6" x14ac:dyDescent="0.3">
      <c r="A922" s="107"/>
      <c r="B922" s="101"/>
      <c r="C922" s="102"/>
      <c r="D922" s="102"/>
      <c r="E922" s="95"/>
      <c r="H922" s="96"/>
      <c r="I922" s="103"/>
      <c r="J922" s="104"/>
      <c r="K922" s="99">
        <f t="shared" si="14"/>
        <v>0</v>
      </c>
      <c r="M922" s="106"/>
    </row>
    <row r="923" spans="1:13" ht="15.6" x14ac:dyDescent="0.3">
      <c r="A923" s="107"/>
      <c r="B923" s="101"/>
      <c r="C923" s="102"/>
      <c r="D923" s="102"/>
      <c r="E923" s="95"/>
      <c r="H923" s="96"/>
      <c r="I923" s="103"/>
      <c r="J923" s="104"/>
      <c r="K923" s="99">
        <f t="shared" si="14"/>
        <v>0</v>
      </c>
      <c r="M923" s="106"/>
    </row>
    <row r="924" spans="1:13" ht="15.6" x14ac:dyDescent="0.3">
      <c r="A924" s="107"/>
      <c r="B924" s="101"/>
      <c r="C924" s="102"/>
      <c r="D924" s="102"/>
      <c r="E924" s="95"/>
      <c r="H924" s="96"/>
      <c r="I924" s="96"/>
      <c r="J924" s="108"/>
      <c r="K924" s="99">
        <f t="shared" si="14"/>
        <v>0</v>
      </c>
      <c r="M924" s="106"/>
    </row>
    <row r="925" spans="1:13" ht="15.6" x14ac:dyDescent="0.3">
      <c r="A925" s="107"/>
      <c r="B925" s="101"/>
      <c r="C925" s="102"/>
      <c r="D925" s="102"/>
      <c r="E925" s="95"/>
      <c r="H925" s="96"/>
      <c r="I925" s="103"/>
      <c r="J925" s="104"/>
      <c r="K925" s="99">
        <f t="shared" si="14"/>
        <v>0</v>
      </c>
      <c r="M925" s="106"/>
    </row>
    <row r="926" spans="1:13" ht="15.6" x14ac:dyDescent="0.3">
      <c r="A926" s="107"/>
      <c r="B926" s="101"/>
      <c r="C926" s="102"/>
      <c r="D926" s="102"/>
      <c r="E926" s="95"/>
      <c r="H926" s="96"/>
      <c r="I926" s="103"/>
      <c r="J926" s="104"/>
      <c r="K926" s="99">
        <f t="shared" si="14"/>
        <v>0</v>
      </c>
      <c r="M926" s="106"/>
    </row>
    <row r="927" spans="1:13" ht="15.6" x14ac:dyDescent="0.3">
      <c r="A927" s="107"/>
      <c r="B927" s="101"/>
      <c r="C927" s="102"/>
      <c r="D927" s="102"/>
      <c r="E927" s="95"/>
      <c r="H927" s="96"/>
      <c r="I927" s="103"/>
      <c r="J927" s="104"/>
      <c r="K927" s="99">
        <f t="shared" si="14"/>
        <v>0</v>
      </c>
      <c r="M927" s="106"/>
    </row>
    <row r="928" spans="1:13" ht="15.6" x14ac:dyDescent="0.3">
      <c r="A928" s="107"/>
      <c r="B928" s="101"/>
      <c r="C928" s="102"/>
      <c r="D928" s="102"/>
      <c r="E928" s="95"/>
      <c r="H928" s="96"/>
      <c r="I928" s="103"/>
      <c r="J928" s="104"/>
      <c r="K928" s="99">
        <f t="shared" si="14"/>
        <v>0</v>
      </c>
      <c r="M928" s="106"/>
    </row>
    <row r="929" spans="1:13" ht="15.6" x14ac:dyDescent="0.3">
      <c r="A929" s="107"/>
      <c r="B929" s="101"/>
      <c r="C929" s="102"/>
      <c r="D929" s="102"/>
      <c r="E929" s="95"/>
      <c r="H929" s="96"/>
      <c r="I929" s="96"/>
      <c r="J929" s="108"/>
      <c r="K929" s="99">
        <f t="shared" si="14"/>
        <v>0</v>
      </c>
      <c r="M929" s="106"/>
    </row>
    <row r="930" spans="1:13" ht="15.6" x14ac:dyDescent="0.3">
      <c r="A930" s="107"/>
      <c r="B930" s="101"/>
      <c r="C930" s="102"/>
      <c r="D930" s="102"/>
      <c r="E930" s="95"/>
      <c r="H930" s="96"/>
      <c r="I930" s="103"/>
      <c r="J930" s="104"/>
      <c r="K930" s="99">
        <f t="shared" si="14"/>
        <v>0</v>
      </c>
      <c r="M930" s="106"/>
    </row>
    <row r="931" spans="1:13" ht="15.6" x14ac:dyDescent="0.3">
      <c r="A931" s="107"/>
      <c r="B931" s="101"/>
      <c r="C931" s="102"/>
      <c r="D931" s="102"/>
      <c r="E931" s="95"/>
      <c r="H931" s="96"/>
      <c r="I931" s="103"/>
      <c r="J931" s="104"/>
      <c r="K931" s="99">
        <f t="shared" si="14"/>
        <v>0</v>
      </c>
      <c r="M931" s="106"/>
    </row>
    <row r="932" spans="1:13" ht="15.6" x14ac:dyDescent="0.3">
      <c r="A932" s="107"/>
      <c r="B932" s="101"/>
      <c r="C932" s="102"/>
      <c r="D932" s="102"/>
      <c r="E932" s="95"/>
      <c r="H932" s="96"/>
      <c r="I932" s="103"/>
      <c r="J932" s="104"/>
      <c r="K932" s="99">
        <f t="shared" si="14"/>
        <v>0</v>
      </c>
      <c r="M932" s="106"/>
    </row>
    <row r="933" spans="1:13" ht="15.6" x14ac:dyDescent="0.3">
      <c r="A933" s="107"/>
      <c r="B933" s="101"/>
      <c r="C933" s="102"/>
      <c r="D933" s="102"/>
      <c r="E933" s="95"/>
      <c r="H933" s="96"/>
      <c r="I933" s="103"/>
      <c r="J933" s="104"/>
      <c r="K933" s="99">
        <f t="shared" si="14"/>
        <v>0</v>
      </c>
      <c r="M933" s="106"/>
    </row>
    <row r="934" spans="1:13" ht="15.6" x14ac:dyDescent="0.3">
      <c r="A934" s="107"/>
      <c r="B934" s="101"/>
      <c r="C934" s="102"/>
      <c r="D934" s="102"/>
      <c r="E934" s="95"/>
      <c r="H934" s="96"/>
      <c r="I934" s="96"/>
      <c r="J934" s="108"/>
      <c r="K934" s="99">
        <f t="shared" si="14"/>
        <v>0</v>
      </c>
      <c r="M934" s="106"/>
    </row>
    <row r="935" spans="1:13" ht="15.6" x14ac:dyDescent="0.3">
      <c r="A935" s="107"/>
      <c r="B935" s="101"/>
      <c r="C935" s="102"/>
      <c r="D935" s="102"/>
      <c r="E935" s="95"/>
      <c r="H935" s="96"/>
      <c r="I935" s="103"/>
      <c r="J935" s="104"/>
      <c r="K935" s="99">
        <f t="shared" si="14"/>
        <v>0</v>
      </c>
      <c r="M935" s="106"/>
    </row>
    <row r="936" spans="1:13" ht="15.6" x14ac:dyDescent="0.3">
      <c r="A936" s="107"/>
      <c r="B936" s="101"/>
      <c r="C936" s="102"/>
      <c r="D936" s="102"/>
      <c r="E936" s="95"/>
      <c r="H936" s="96"/>
      <c r="I936" s="103"/>
      <c r="J936" s="104"/>
      <c r="K936" s="99">
        <f t="shared" si="14"/>
        <v>0</v>
      </c>
      <c r="M936" s="106"/>
    </row>
    <row r="937" spans="1:13" ht="15.6" x14ac:dyDescent="0.3">
      <c r="A937" s="107"/>
      <c r="B937" s="101"/>
      <c r="C937" s="102"/>
      <c r="D937" s="102"/>
      <c r="E937" s="95"/>
      <c r="H937" s="96"/>
      <c r="I937" s="103"/>
      <c r="J937" s="104"/>
      <c r="K937" s="99">
        <f t="shared" si="14"/>
        <v>0</v>
      </c>
      <c r="M937" s="106"/>
    </row>
    <row r="938" spans="1:13" ht="15.6" x14ac:dyDescent="0.3">
      <c r="A938" s="107"/>
      <c r="B938" s="101"/>
      <c r="C938" s="102"/>
      <c r="D938" s="102"/>
      <c r="E938" s="95"/>
      <c r="H938" s="96"/>
      <c r="I938" s="103"/>
      <c r="J938" s="104"/>
      <c r="K938" s="99">
        <f t="shared" si="14"/>
        <v>0</v>
      </c>
      <c r="M938" s="106"/>
    </row>
    <row r="939" spans="1:13" ht="15.6" x14ac:dyDescent="0.3">
      <c r="A939" s="107"/>
      <c r="B939" s="101"/>
      <c r="C939" s="102"/>
      <c r="D939" s="102"/>
      <c r="E939" s="95"/>
      <c r="H939" s="96"/>
      <c r="I939" s="96"/>
      <c r="J939" s="108"/>
      <c r="K939" s="99">
        <f t="shared" si="14"/>
        <v>0</v>
      </c>
      <c r="M939" s="106"/>
    </row>
    <row r="940" spans="1:13" ht="15.6" x14ac:dyDescent="0.3">
      <c r="A940" s="107"/>
      <c r="B940" s="101"/>
      <c r="C940" s="102"/>
      <c r="D940" s="102"/>
      <c r="E940" s="95"/>
      <c r="H940" s="96"/>
      <c r="I940" s="103"/>
      <c r="J940" s="104"/>
      <c r="K940" s="99">
        <f t="shared" si="14"/>
        <v>0</v>
      </c>
      <c r="M940" s="106"/>
    </row>
    <row r="941" spans="1:13" ht="15.6" x14ac:dyDescent="0.3">
      <c r="A941" s="107"/>
      <c r="B941" s="101"/>
      <c r="C941" s="102"/>
      <c r="D941" s="102"/>
      <c r="E941" s="95"/>
      <c r="H941" s="96"/>
      <c r="I941" s="103"/>
      <c r="J941" s="104"/>
      <c r="K941" s="99">
        <f t="shared" si="14"/>
        <v>0</v>
      </c>
      <c r="M941" s="106"/>
    </row>
    <row r="942" spans="1:13" ht="15.6" x14ac:dyDescent="0.3">
      <c r="A942" s="107"/>
      <c r="B942" s="101"/>
      <c r="C942" s="102"/>
      <c r="D942" s="102"/>
      <c r="E942" s="95"/>
      <c r="H942" s="96"/>
      <c r="I942" s="103"/>
      <c r="J942" s="104"/>
      <c r="K942" s="99">
        <f t="shared" si="14"/>
        <v>0</v>
      </c>
      <c r="M942" s="106"/>
    </row>
    <row r="943" spans="1:13" ht="15.6" x14ac:dyDescent="0.3">
      <c r="A943" s="107"/>
      <c r="B943" s="101"/>
      <c r="C943" s="102"/>
      <c r="D943" s="102"/>
      <c r="E943" s="95"/>
      <c r="H943" s="96"/>
      <c r="I943" s="103"/>
      <c r="J943" s="104"/>
      <c r="K943" s="99">
        <f t="shared" si="14"/>
        <v>0</v>
      </c>
      <c r="M943" s="106"/>
    </row>
    <row r="944" spans="1:13" ht="15.6" x14ac:dyDescent="0.3">
      <c r="A944" s="107"/>
      <c r="B944" s="101"/>
      <c r="C944" s="102"/>
      <c r="D944" s="102"/>
      <c r="E944" s="95"/>
      <c r="H944" s="96"/>
      <c r="I944" s="96"/>
      <c r="J944" s="108"/>
      <c r="K944" s="99">
        <f t="shared" si="14"/>
        <v>0</v>
      </c>
      <c r="M944" s="106"/>
    </row>
    <row r="945" spans="1:13" ht="15.6" x14ac:dyDescent="0.3">
      <c r="A945" s="107"/>
      <c r="B945" s="101"/>
      <c r="C945" s="102"/>
      <c r="D945" s="102"/>
      <c r="E945" s="95"/>
      <c r="H945" s="96"/>
      <c r="I945" s="103"/>
      <c r="J945" s="104"/>
      <c r="K945" s="99">
        <f t="shared" si="14"/>
        <v>0</v>
      </c>
      <c r="M945" s="106"/>
    </row>
    <row r="946" spans="1:13" ht="15.6" x14ac:dyDescent="0.3">
      <c r="A946" s="107"/>
      <c r="B946" s="101"/>
      <c r="C946" s="102"/>
      <c r="D946" s="102"/>
      <c r="E946" s="95"/>
      <c r="H946" s="96"/>
      <c r="I946" s="103"/>
      <c r="J946" s="104"/>
      <c r="K946" s="99">
        <f t="shared" si="14"/>
        <v>0</v>
      </c>
      <c r="M946" s="106"/>
    </row>
    <row r="947" spans="1:13" ht="15.6" x14ac:dyDescent="0.3">
      <c r="A947" s="107"/>
      <c r="B947" s="101"/>
      <c r="C947" s="102"/>
      <c r="D947" s="102"/>
      <c r="E947" s="95"/>
      <c r="H947" s="96"/>
      <c r="I947" s="103"/>
      <c r="J947" s="104"/>
      <c r="K947" s="99">
        <f t="shared" si="14"/>
        <v>0</v>
      </c>
      <c r="M947" s="106"/>
    </row>
    <row r="948" spans="1:13" ht="15.6" x14ac:dyDescent="0.3">
      <c r="A948" s="107"/>
      <c r="B948" s="101"/>
      <c r="C948" s="102"/>
      <c r="D948" s="102"/>
      <c r="E948" s="95"/>
      <c r="H948" s="96"/>
      <c r="I948" s="103"/>
      <c r="J948" s="104"/>
      <c r="K948" s="99">
        <f t="shared" si="14"/>
        <v>0</v>
      </c>
      <c r="M948" s="106"/>
    </row>
    <row r="949" spans="1:13" ht="16.2" thickBot="1" x14ac:dyDescent="0.35">
      <c r="A949" s="110"/>
      <c r="B949" s="111"/>
      <c r="C949" s="112"/>
      <c r="D949" s="102"/>
      <c r="E949" s="95"/>
      <c r="H949" s="113"/>
      <c r="I949" s="113"/>
      <c r="J949" s="114"/>
      <c r="K949" s="115">
        <f t="shared" si="14"/>
        <v>0</v>
      </c>
      <c r="M949" s="106"/>
    </row>
  </sheetData>
  <mergeCells count="3">
    <mergeCell ref="B2:D2"/>
    <mergeCell ref="H2:J3"/>
    <mergeCell ref="K2:K4"/>
  </mergeCells>
  <dataValidations count="1">
    <dataValidation type="list" allowBlank="1" sqref="B5:B949" xr:uid="{89D4AB41-B786-4FEA-B41B-9ECFF882779F}">
      <formula1>Médiaelem_típusa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tabSelected="1" workbookViewId="0">
      <selection activeCell="I13" sqref="I13"/>
    </sheetView>
  </sheetViews>
  <sheetFormatPr defaultColWidth="8" defaultRowHeight="14.4" x14ac:dyDescent="0.3"/>
  <cols>
    <col min="1" max="1" width="18" style="22" customWidth="1"/>
    <col min="2" max="2" width="13.19921875" style="23" customWidth="1"/>
    <col min="3" max="3" width="12.09765625" style="22" customWidth="1"/>
    <col min="4" max="4" width="10.5" style="22" customWidth="1"/>
    <col min="5" max="5" width="12.09765625" style="22" customWidth="1"/>
    <col min="6" max="6" width="10.5" style="22" customWidth="1"/>
    <col min="7" max="7" width="12.09765625" style="22" customWidth="1"/>
    <col min="8" max="8" width="10.5" style="22" customWidth="1"/>
    <col min="9" max="9" width="12.09765625" style="22" customWidth="1"/>
    <col min="10" max="10" width="10.5" style="22" customWidth="1"/>
    <col min="11" max="11" width="12.09765625" style="22" customWidth="1"/>
    <col min="12" max="12" width="10.5" style="22" customWidth="1"/>
    <col min="13" max="13" width="12.09765625" style="22" customWidth="1"/>
    <col min="14" max="14" width="10.5" style="22" customWidth="1"/>
    <col min="15" max="15" width="12.09765625" style="22" customWidth="1"/>
    <col min="16" max="16" width="10.5" style="22" customWidth="1"/>
    <col min="17" max="17" width="12.09765625" style="22" customWidth="1"/>
    <col min="18" max="18" width="10.5" style="22" customWidth="1"/>
    <col min="19" max="16384" width="8" style="17"/>
  </cols>
  <sheetData>
    <row r="1" spans="1:18" ht="26.4" x14ac:dyDescent="0.3">
      <c r="A1" s="15" t="s">
        <v>9</v>
      </c>
      <c r="B1" s="16" t="s">
        <v>10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18" t="s">
        <v>11</v>
      </c>
      <c r="B2" s="19" t="s">
        <v>12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8" t="s">
        <v>13</v>
      </c>
      <c r="B3" s="19">
        <v>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5.6" customHeight="1" x14ac:dyDescent="0.3">
      <c r="A4" s="18" t="s">
        <v>14</v>
      </c>
      <c r="B4" s="19" t="s">
        <v>15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x14ac:dyDescent="0.3">
      <c r="A5" s="18" t="s">
        <v>16</v>
      </c>
      <c r="B5" s="19">
        <v>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x14ac:dyDescent="0.3">
      <c r="A6" s="18" t="s">
        <v>17</v>
      </c>
      <c r="B6" s="19">
        <v>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3">
      <c r="A7" s="18" t="s">
        <v>33</v>
      </c>
      <c r="B7" s="19" t="s">
        <v>37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7" x14ac:dyDescent="0.3">
      <c r="A8" s="18" t="s">
        <v>34</v>
      </c>
      <c r="B8" s="19" t="s">
        <v>37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3">
      <c r="A9" s="18" t="s">
        <v>35</v>
      </c>
      <c r="B9" s="19" t="s">
        <v>38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7" x14ac:dyDescent="0.3">
      <c r="A10" s="18" t="s">
        <v>36</v>
      </c>
      <c r="B10" s="19" t="s">
        <v>39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3">
      <c r="A11" s="18" t="s">
        <v>32</v>
      </c>
      <c r="B11" s="24" t="s">
        <v>40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" x14ac:dyDescent="0.3">
      <c r="A12" s="18" t="s">
        <v>18</v>
      </c>
      <c r="B12" s="19">
        <v>13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x14ac:dyDescent="0.3">
      <c r="A13" s="20" t="s">
        <v>19</v>
      </c>
      <c r="B13" s="21">
        <v>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1</vt:i4>
      </vt:variant>
    </vt:vector>
  </HeadingPairs>
  <TitlesOfParts>
    <vt:vector size="5" baseType="lpstr">
      <vt:lpstr>Alapadatok</vt:lpstr>
      <vt:lpstr>EM-X.Y.Z</vt:lpstr>
      <vt:lpstr>EM-X.Y.Z-MK</vt:lpstr>
      <vt:lpstr>Médiatípusok</vt:lpstr>
      <vt:lpstr>Médiaelem_típusa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Radnóti Krisztina</dc:creator>
  <cp:lastModifiedBy>Lovász Ottó</cp:lastModifiedBy>
  <dcterms:created xsi:type="dcterms:W3CDTF">2020-10-29T10:54:26Z</dcterms:created>
  <dcterms:modified xsi:type="dcterms:W3CDTF">2025-10-20T06:18:31Z</dcterms:modified>
</cp:coreProperties>
</file>